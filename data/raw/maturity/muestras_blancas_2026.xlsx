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mc:AlternateContent xmlns:mc="http://schemas.openxmlformats.org/markup-compatibility/2006">
    <mc:Choice Requires="x15">
      <x15ac:absPath xmlns:x15ac="http://schemas.microsoft.com/office/spreadsheetml/2010/11/ac" url="https://conchaytoro365.sharepoint.com/sites/Vendimia5-0/UC/Proyecto/Madurez uva - IC/Muestreo Madurez equipo viticultura y enología/Temporada 2026/1_DATA_RAW/campo/madurez/"/>
    </mc:Choice>
  </mc:AlternateContent>
  <xr:revisionPtr revIDLastSave="2976" documentId="8_{57B43BA9-E75C-42A7-B85C-293DAACC78AD}" xr6:coauthVersionLast="47" xr6:coauthVersionMax="47" xr10:uidLastSave="{73225CCA-EABF-4A71-BADE-DAEE7574D645}"/>
  <bookViews>
    <workbookView xWindow="28680" yWindow="-3705" windowWidth="19440" windowHeight="15000" xr2:uid="{00000000-000D-0000-FFFF-FFFF00000000}"/>
  </bookViews>
  <sheets>
    <sheet name="Tabla general" sheetId="12" r:id="rId1"/>
    <sheet name="CH-Idahue" sheetId="15" r:id="rId2"/>
    <sheet name="SB-Idahue" sheetId="14" r:id="rId3"/>
    <sheet name="CH-Ucuquer" sheetId="16" r:id="rId4"/>
    <sheet name="SB-Ucuquer" sheetId="17" r:id="rId5"/>
    <sheet name="SB-Yungay" sheetId="18" r:id="rId6"/>
    <sheet name="SB-Rauco" sheetId="19" r:id="rId7"/>
    <sheet name="SB-Santa_Isabel" sheetId="20" r:id="rId8"/>
    <sheet name="CH-Lourdes" sheetId="21" r:id="rId9"/>
    <sheet name="SB-Mariposas" sheetId="22" r:id="rId10"/>
    <sheet name="CH-Quebrada_Agua" sheetId="23" r:id="rId11"/>
    <sheet name="CH-Santa_Isabel" sheetId="24" r:id="rId12"/>
    <sheet name="CH-San_Ignacio" sheetId="26" r:id="rId13"/>
    <sheet name="OVALLE_datos disponibles" sheetId="13" r:id="rId14"/>
  </sheets>
  <definedNames>
    <definedName name="_xlnm._FilterDatabase" localSheetId="0" hidden="1">'Tabla general'!$A$1:$P$153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0" i="12" l="1"/>
  <c r="L130" i="12"/>
  <c r="M130" i="12" s="1"/>
  <c r="P116" i="12"/>
  <c r="L116" i="12"/>
  <c r="M116" i="12" s="1"/>
  <c r="A4" i="26"/>
  <c r="B4" i="26"/>
  <c r="C4" i="26"/>
  <c r="D4" i="26"/>
  <c r="E4" i="26"/>
  <c r="F4" i="26"/>
  <c r="G4" i="26"/>
  <c r="H4" i="26"/>
  <c r="I4" i="26"/>
  <c r="J4" i="26"/>
  <c r="K4" i="26"/>
  <c r="M4" i="26"/>
  <c r="A5" i="26"/>
  <c r="B5" i="26"/>
  <c r="C5" i="26"/>
  <c r="D5" i="26"/>
  <c r="E5" i="26"/>
  <c r="F5" i="26"/>
  <c r="G5" i="26"/>
  <c r="H5" i="26"/>
  <c r="I5" i="26"/>
  <c r="J5" i="26"/>
  <c r="K5" i="26"/>
  <c r="M5" i="26"/>
  <c r="A6" i="26"/>
  <c r="B6" i="26"/>
  <c r="C6" i="26"/>
  <c r="D6" i="26"/>
  <c r="E6" i="26"/>
  <c r="F6" i="26"/>
  <c r="G6" i="26"/>
  <c r="H6" i="26"/>
  <c r="I6" i="26"/>
  <c r="J6" i="26"/>
  <c r="K6" i="26"/>
  <c r="M6" i="26"/>
  <c r="A7" i="26"/>
  <c r="B7" i="26"/>
  <c r="C7" i="26"/>
  <c r="D7" i="26"/>
  <c r="E7" i="26"/>
  <c r="F7" i="26"/>
  <c r="G7" i="26"/>
  <c r="H7" i="26"/>
  <c r="I7" i="26"/>
  <c r="J7" i="26"/>
  <c r="K7" i="26"/>
  <c r="M7" i="26"/>
  <c r="A8" i="26"/>
  <c r="B8" i="26"/>
  <c r="C8" i="26"/>
  <c r="D8" i="26"/>
  <c r="E8" i="26"/>
  <c r="F8" i="26"/>
  <c r="G8" i="26"/>
  <c r="H8" i="26"/>
  <c r="I8" i="26"/>
  <c r="J8" i="26"/>
  <c r="K8" i="26"/>
  <c r="M8" i="26"/>
  <c r="A9" i="26"/>
  <c r="B9" i="26"/>
  <c r="C9" i="26"/>
  <c r="D9" i="26"/>
  <c r="E9" i="26"/>
  <c r="F9" i="26"/>
  <c r="G9" i="26"/>
  <c r="H9" i="26"/>
  <c r="I9" i="26"/>
  <c r="J9" i="26"/>
  <c r="K9" i="26"/>
  <c r="M9" i="26"/>
  <c r="A10" i="26"/>
  <c r="B10" i="26"/>
  <c r="C10" i="26"/>
  <c r="D10" i="26"/>
  <c r="E10" i="26"/>
  <c r="F10" i="26"/>
  <c r="G10" i="26"/>
  <c r="H10" i="26"/>
  <c r="I10" i="26"/>
  <c r="J10" i="26"/>
  <c r="K10" i="26"/>
  <c r="M10" i="26"/>
  <c r="A11" i="26"/>
  <c r="B11" i="26"/>
  <c r="C11" i="26"/>
  <c r="D11" i="26"/>
  <c r="E11" i="26"/>
  <c r="F11" i="26"/>
  <c r="G11" i="26"/>
  <c r="H11" i="26"/>
  <c r="I11" i="26"/>
  <c r="J11" i="26"/>
  <c r="K11" i="26"/>
  <c r="M11" i="26"/>
  <c r="A12" i="26"/>
  <c r="B12" i="26"/>
  <c r="C12" i="26"/>
  <c r="D12" i="26"/>
  <c r="E12" i="26"/>
  <c r="F12" i="26"/>
  <c r="G12" i="26"/>
  <c r="H12" i="26"/>
  <c r="I12" i="26"/>
  <c r="J12" i="26"/>
  <c r="K12" i="26"/>
  <c r="M12" i="26"/>
  <c r="A13" i="26"/>
  <c r="B13" i="26"/>
  <c r="C13" i="26"/>
  <c r="D13" i="26"/>
  <c r="E13" i="26"/>
  <c r="F13" i="26"/>
  <c r="G13" i="26"/>
  <c r="H13" i="26"/>
  <c r="I13" i="26"/>
  <c r="J13" i="26"/>
  <c r="K13" i="26"/>
  <c r="M13" i="26"/>
  <c r="A14" i="26"/>
  <c r="B14" i="26"/>
  <c r="C14" i="26"/>
  <c r="D14" i="26"/>
  <c r="E14" i="26"/>
  <c r="F14" i="26"/>
  <c r="G14" i="26"/>
  <c r="H14" i="26"/>
  <c r="I14" i="26"/>
  <c r="J14" i="26"/>
  <c r="K14" i="26"/>
  <c r="M14" i="26"/>
  <c r="A15" i="26"/>
  <c r="B15" i="26"/>
  <c r="C15" i="26"/>
  <c r="D15" i="26"/>
  <c r="E15" i="26"/>
  <c r="F15" i="26"/>
  <c r="G15" i="26"/>
  <c r="H15" i="26"/>
  <c r="I15" i="26"/>
  <c r="J15" i="26"/>
  <c r="K15" i="26"/>
  <c r="M15" i="26"/>
  <c r="A21" i="24"/>
  <c r="B21" i="24"/>
  <c r="C21" i="24"/>
  <c r="D21" i="24"/>
  <c r="E21" i="24"/>
  <c r="F21" i="24"/>
  <c r="H21" i="24"/>
  <c r="I21" i="24"/>
  <c r="J21" i="24"/>
  <c r="K21" i="24"/>
  <c r="M21" i="24"/>
  <c r="A15" i="24"/>
  <c r="B15" i="24"/>
  <c r="C15" i="24"/>
  <c r="D15" i="24"/>
  <c r="E15" i="24"/>
  <c r="F15" i="24"/>
  <c r="H15" i="24"/>
  <c r="I15" i="24"/>
  <c r="J15" i="24"/>
  <c r="K15" i="24"/>
  <c r="M15" i="24"/>
  <c r="A16" i="24"/>
  <c r="B16" i="24"/>
  <c r="C16" i="24"/>
  <c r="D16" i="24"/>
  <c r="E16" i="24"/>
  <c r="F16" i="24"/>
  <c r="H16" i="24"/>
  <c r="I16" i="24"/>
  <c r="J16" i="24"/>
  <c r="K16" i="24"/>
  <c r="M16" i="24"/>
  <c r="A17" i="24"/>
  <c r="B17" i="24"/>
  <c r="C17" i="24"/>
  <c r="D17" i="24"/>
  <c r="E17" i="24"/>
  <c r="F17" i="24"/>
  <c r="H17" i="24"/>
  <c r="I17" i="24"/>
  <c r="J17" i="24"/>
  <c r="K17" i="24"/>
  <c r="M17" i="24"/>
  <c r="A18" i="24"/>
  <c r="B18" i="24"/>
  <c r="C18" i="24"/>
  <c r="D18" i="24"/>
  <c r="E18" i="24"/>
  <c r="F18" i="24"/>
  <c r="H18" i="24"/>
  <c r="I18" i="24"/>
  <c r="J18" i="24"/>
  <c r="K18" i="24"/>
  <c r="M18" i="24"/>
  <c r="A19" i="24"/>
  <c r="B19" i="24"/>
  <c r="C19" i="24"/>
  <c r="D19" i="24"/>
  <c r="E19" i="24"/>
  <c r="F19" i="24"/>
  <c r="H19" i="24"/>
  <c r="I19" i="24"/>
  <c r="J19" i="24"/>
  <c r="K19" i="24"/>
  <c r="M19" i="24"/>
  <c r="A20" i="24"/>
  <c r="B20" i="24"/>
  <c r="C20" i="24"/>
  <c r="D20" i="24"/>
  <c r="E20" i="24"/>
  <c r="F20" i="24"/>
  <c r="H20" i="24"/>
  <c r="I20" i="24"/>
  <c r="J20" i="24"/>
  <c r="K20" i="24"/>
  <c r="M20" i="24"/>
  <c r="A22" i="24"/>
  <c r="B22" i="24"/>
  <c r="C22" i="24"/>
  <c r="D22" i="24"/>
  <c r="E22" i="24"/>
  <c r="F22" i="24"/>
  <c r="H22" i="24"/>
  <c r="I22" i="24"/>
  <c r="J22" i="24"/>
  <c r="K22" i="24"/>
  <c r="M22" i="24"/>
  <c r="A23" i="24"/>
  <c r="B23" i="24"/>
  <c r="C23" i="24"/>
  <c r="D23" i="24"/>
  <c r="E23" i="24"/>
  <c r="F23" i="24"/>
  <c r="H23" i="24"/>
  <c r="I23" i="24"/>
  <c r="J23" i="24"/>
  <c r="K23" i="24"/>
  <c r="M23" i="24"/>
  <c r="A24" i="24"/>
  <c r="B24" i="24"/>
  <c r="C24" i="24"/>
  <c r="D24" i="24"/>
  <c r="E24" i="24"/>
  <c r="F24" i="24"/>
  <c r="H24" i="24"/>
  <c r="I24" i="24"/>
  <c r="J24" i="24"/>
  <c r="K24" i="24"/>
  <c r="M24" i="24"/>
  <c r="A25" i="24"/>
  <c r="B25" i="24"/>
  <c r="C25" i="24"/>
  <c r="D25" i="24"/>
  <c r="E25" i="24"/>
  <c r="F25" i="24"/>
  <c r="H25" i="24"/>
  <c r="I25" i="24"/>
  <c r="J25" i="24"/>
  <c r="K25" i="24"/>
  <c r="M25" i="24"/>
  <c r="A26" i="24"/>
  <c r="B26" i="24"/>
  <c r="C26" i="24"/>
  <c r="D26" i="24"/>
  <c r="E26" i="24"/>
  <c r="F26" i="24"/>
  <c r="H26" i="24"/>
  <c r="I26" i="24"/>
  <c r="J26" i="24"/>
  <c r="K26" i="24"/>
  <c r="M26" i="24"/>
  <c r="A27" i="24"/>
  <c r="B27" i="24"/>
  <c r="C27" i="24"/>
  <c r="D27" i="24"/>
  <c r="E27" i="24"/>
  <c r="F27" i="24"/>
  <c r="G27" i="24"/>
  <c r="H27" i="24"/>
  <c r="I27" i="24"/>
  <c r="J27" i="24"/>
  <c r="K27" i="24"/>
  <c r="M27" i="24"/>
  <c r="A24" i="23"/>
  <c r="B24" i="23"/>
  <c r="C24" i="23"/>
  <c r="D24" i="23"/>
  <c r="E24" i="23"/>
  <c r="F24" i="23"/>
  <c r="H24" i="23"/>
  <c r="I24" i="23"/>
  <c r="J24" i="23"/>
  <c r="K24" i="23"/>
  <c r="M24" i="23"/>
  <c r="A25" i="23"/>
  <c r="B25" i="23"/>
  <c r="C25" i="23"/>
  <c r="D25" i="23"/>
  <c r="E25" i="23"/>
  <c r="F25" i="23"/>
  <c r="H25" i="23"/>
  <c r="I25" i="23"/>
  <c r="J25" i="23"/>
  <c r="K25" i="23"/>
  <c r="M25" i="23"/>
  <c r="A26" i="23"/>
  <c r="B26" i="23"/>
  <c r="C26" i="23"/>
  <c r="D26" i="23"/>
  <c r="E26" i="23"/>
  <c r="F26" i="23"/>
  <c r="G26" i="23"/>
  <c r="H26" i="23"/>
  <c r="I26" i="23"/>
  <c r="J26" i="23"/>
  <c r="K26" i="23"/>
  <c r="M26" i="23"/>
  <c r="A27" i="23"/>
  <c r="B27" i="23"/>
  <c r="C27" i="23"/>
  <c r="D27" i="23"/>
  <c r="E27" i="23"/>
  <c r="F27" i="23"/>
  <c r="G27" i="23"/>
  <c r="H27" i="23"/>
  <c r="I27" i="23"/>
  <c r="J27" i="23"/>
  <c r="K27" i="23"/>
  <c r="M27" i="23"/>
  <c r="A25" i="22"/>
  <c r="B25" i="22"/>
  <c r="C25" i="22"/>
  <c r="D25" i="22"/>
  <c r="E25" i="22"/>
  <c r="F25" i="22"/>
  <c r="H25" i="22"/>
  <c r="I25" i="22"/>
  <c r="J25" i="22"/>
  <c r="K25" i="22"/>
  <c r="M25" i="22"/>
  <c r="A26" i="22"/>
  <c r="B26" i="22"/>
  <c r="C26" i="22"/>
  <c r="D26" i="22"/>
  <c r="E26" i="22"/>
  <c r="F26" i="22"/>
  <c r="H26" i="22"/>
  <c r="I26" i="22"/>
  <c r="J26" i="22"/>
  <c r="K26" i="22"/>
  <c r="M26" i="22"/>
  <c r="A27" i="22"/>
  <c r="B27" i="22"/>
  <c r="C27" i="22"/>
  <c r="D27" i="22"/>
  <c r="E27" i="22"/>
  <c r="F27" i="22"/>
  <c r="G27" i="22"/>
  <c r="H27" i="22"/>
  <c r="I27" i="22"/>
  <c r="J27" i="22"/>
  <c r="K27" i="22"/>
  <c r="M27" i="22"/>
  <c r="A28" i="22"/>
  <c r="B28" i="22"/>
  <c r="C28" i="22"/>
  <c r="D28" i="22"/>
  <c r="E28" i="22"/>
  <c r="F28" i="22"/>
  <c r="G28" i="22"/>
  <c r="H28" i="22"/>
  <c r="I28" i="22"/>
  <c r="J28" i="22"/>
  <c r="K28" i="22"/>
  <c r="M28" i="22"/>
  <c r="A25" i="21"/>
  <c r="B25" i="21"/>
  <c r="C25" i="21"/>
  <c r="D25" i="21"/>
  <c r="E25" i="21"/>
  <c r="F25" i="21"/>
  <c r="H25" i="21"/>
  <c r="I25" i="21"/>
  <c r="J25" i="21"/>
  <c r="K25" i="21"/>
  <c r="M25" i="21"/>
  <c r="A26" i="21"/>
  <c r="B26" i="21"/>
  <c r="C26" i="21"/>
  <c r="D26" i="21"/>
  <c r="E26" i="21"/>
  <c r="F26" i="21"/>
  <c r="H26" i="21"/>
  <c r="I26" i="21"/>
  <c r="J26" i="21"/>
  <c r="K26" i="21"/>
  <c r="M26" i="21"/>
  <c r="A28" i="20"/>
  <c r="B28" i="20"/>
  <c r="C28" i="20"/>
  <c r="D28" i="20"/>
  <c r="E28" i="20"/>
  <c r="F28" i="20"/>
  <c r="G28" i="20"/>
  <c r="H28" i="20"/>
  <c r="I28" i="20"/>
  <c r="J28" i="20"/>
  <c r="K28" i="20"/>
  <c r="M28" i="20"/>
  <c r="A25" i="20"/>
  <c r="B25" i="20"/>
  <c r="C25" i="20"/>
  <c r="D25" i="20"/>
  <c r="E25" i="20"/>
  <c r="F25" i="20"/>
  <c r="H25" i="20"/>
  <c r="I25" i="20"/>
  <c r="J25" i="20"/>
  <c r="K25" i="20"/>
  <c r="M25" i="20"/>
  <c r="A26" i="20"/>
  <c r="B26" i="20"/>
  <c r="C26" i="20"/>
  <c r="D26" i="20"/>
  <c r="E26" i="20"/>
  <c r="F26" i="20"/>
  <c r="H26" i="20"/>
  <c r="I26" i="20"/>
  <c r="J26" i="20"/>
  <c r="K26" i="20"/>
  <c r="M26" i="20"/>
  <c r="A27" i="20"/>
  <c r="B27" i="20"/>
  <c r="C27" i="20"/>
  <c r="D27" i="20"/>
  <c r="E27" i="20"/>
  <c r="F27" i="20"/>
  <c r="H27" i="20"/>
  <c r="I27" i="20"/>
  <c r="J27" i="20"/>
  <c r="K27" i="20"/>
  <c r="M27" i="20"/>
  <c r="A25" i="19"/>
  <c r="B25" i="19"/>
  <c r="C25" i="19"/>
  <c r="D25" i="19"/>
  <c r="E25" i="19"/>
  <c r="F25" i="19"/>
  <c r="H25" i="19"/>
  <c r="I25" i="19"/>
  <c r="J25" i="19"/>
  <c r="K25" i="19"/>
  <c r="M25" i="19"/>
  <c r="A26" i="19"/>
  <c r="B26" i="19"/>
  <c r="C26" i="19"/>
  <c r="D26" i="19"/>
  <c r="E26" i="19"/>
  <c r="F26" i="19"/>
  <c r="H26" i="19"/>
  <c r="I26" i="19"/>
  <c r="J26" i="19"/>
  <c r="K26" i="19"/>
  <c r="M26" i="19"/>
  <c r="A27" i="19"/>
  <c r="B27" i="19"/>
  <c r="C27" i="19"/>
  <c r="D27" i="19"/>
  <c r="E27" i="19"/>
  <c r="F27" i="19"/>
  <c r="G27" i="19"/>
  <c r="H27" i="19"/>
  <c r="I27" i="19"/>
  <c r="J27" i="19"/>
  <c r="K27" i="19"/>
  <c r="M27" i="19"/>
  <c r="A28" i="18"/>
  <c r="B28" i="18"/>
  <c r="C28" i="18"/>
  <c r="D28" i="18"/>
  <c r="E28" i="18"/>
  <c r="F28" i="18"/>
  <c r="G28" i="18"/>
  <c r="H28" i="18"/>
  <c r="I28" i="18"/>
  <c r="J28" i="18"/>
  <c r="K28" i="18"/>
  <c r="M28" i="18"/>
  <c r="A25" i="18"/>
  <c r="B25" i="18"/>
  <c r="C25" i="18"/>
  <c r="D25" i="18"/>
  <c r="E25" i="18"/>
  <c r="F25" i="18"/>
  <c r="H25" i="18"/>
  <c r="I25" i="18"/>
  <c r="J25" i="18"/>
  <c r="K25" i="18"/>
  <c r="M25" i="18"/>
  <c r="A26" i="18"/>
  <c r="B26" i="18"/>
  <c r="C26" i="18"/>
  <c r="D26" i="18"/>
  <c r="E26" i="18"/>
  <c r="F26" i="18"/>
  <c r="H26" i="18"/>
  <c r="I26" i="18"/>
  <c r="J26" i="18"/>
  <c r="K26" i="18"/>
  <c r="M26" i="18"/>
  <c r="A27" i="18"/>
  <c r="B27" i="18"/>
  <c r="C27" i="18"/>
  <c r="D27" i="18"/>
  <c r="E27" i="18"/>
  <c r="F27" i="18"/>
  <c r="G27" i="18"/>
  <c r="H27" i="18"/>
  <c r="I27" i="18"/>
  <c r="J27" i="18"/>
  <c r="K27" i="18"/>
  <c r="M27" i="18"/>
  <c r="A25" i="17"/>
  <c r="B25" i="17"/>
  <c r="C25" i="17"/>
  <c r="D25" i="17"/>
  <c r="E25" i="17"/>
  <c r="F25" i="17"/>
  <c r="H25" i="17"/>
  <c r="I25" i="17"/>
  <c r="J25" i="17"/>
  <c r="K25" i="17"/>
  <c r="M25" i="17"/>
  <c r="A26" i="17"/>
  <c r="B26" i="17"/>
  <c r="C26" i="17"/>
  <c r="D26" i="17"/>
  <c r="E26" i="17"/>
  <c r="F26" i="17"/>
  <c r="H26" i="17"/>
  <c r="I26" i="17"/>
  <c r="J26" i="17"/>
  <c r="K26" i="17"/>
  <c r="M26" i="17"/>
  <c r="A27" i="17"/>
  <c r="B27" i="17"/>
  <c r="C27" i="17"/>
  <c r="D27" i="17"/>
  <c r="E27" i="17"/>
  <c r="F27" i="17"/>
  <c r="H27" i="17"/>
  <c r="I27" i="17"/>
  <c r="J27" i="17"/>
  <c r="K27" i="17"/>
  <c r="M27" i="17"/>
  <c r="A28" i="17"/>
  <c r="B28" i="17"/>
  <c r="C28" i="17"/>
  <c r="D28" i="17"/>
  <c r="E28" i="17"/>
  <c r="F28" i="17"/>
  <c r="G28" i="17"/>
  <c r="H28" i="17"/>
  <c r="I28" i="17"/>
  <c r="J28" i="17"/>
  <c r="K28" i="17"/>
  <c r="M28" i="17"/>
  <c r="A29" i="17"/>
  <c r="B29" i="17"/>
  <c r="C29" i="17"/>
  <c r="D29" i="17"/>
  <c r="E29" i="17"/>
  <c r="F29" i="17"/>
  <c r="G29" i="17"/>
  <c r="H29" i="17"/>
  <c r="I29" i="17"/>
  <c r="J29" i="17"/>
  <c r="K29" i="17"/>
  <c r="M29" i="17"/>
  <c r="A29" i="16"/>
  <c r="B29" i="16"/>
  <c r="C29" i="16"/>
  <c r="D29" i="16"/>
  <c r="E29" i="16"/>
  <c r="F29" i="16"/>
  <c r="G29" i="16"/>
  <c r="H29" i="16"/>
  <c r="I29" i="16"/>
  <c r="J29" i="16"/>
  <c r="K29" i="16"/>
  <c r="M29" i="16"/>
  <c r="A25" i="16"/>
  <c r="B25" i="16"/>
  <c r="C25" i="16"/>
  <c r="D25" i="16"/>
  <c r="E25" i="16"/>
  <c r="F25" i="16"/>
  <c r="H25" i="16"/>
  <c r="I25" i="16"/>
  <c r="J25" i="16"/>
  <c r="K25" i="16"/>
  <c r="M25" i="16"/>
  <c r="A26" i="16"/>
  <c r="B26" i="16"/>
  <c r="C26" i="16"/>
  <c r="D26" i="16"/>
  <c r="E26" i="16"/>
  <c r="F26" i="16"/>
  <c r="H26" i="16"/>
  <c r="I26" i="16"/>
  <c r="J26" i="16"/>
  <c r="K26" i="16"/>
  <c r="M26" i="16"/>
  <c r="A27" i="16"/>
  <c r="B27" i="16"/>
  <c r="C27" i="16"/>
  <c r="D27" i="16"/>
  <c r="E27" i="16"/>
  <c r="F27" i="16"/>
  <c r="G27" i="16"/>
  <c r="H27" i="16"/>
  <c r="I27" i="16"/>
  <c r="J27" i="16"/>
  <c r="K27" i="16"/>
  <c r="M27" i="16"/>
  <c r="A28" i="16"/>
  <c r="B28" i="16"/>
  <c r="C28" i="16"/>
  <c r="D28" i="16"/>
  <c r="E28" i="16"/>
  <c r="F28" i="16"/>
  <c r="G28" i="16"/>
  <c r="H28" i="16"/>
  <c r="I28" i="16"/>
  <c r="J28" i="16"/>
  <c r="K28" i="16"/>
  <c r="M28" i="16"/>
  <c r="A25" i="14"/>
  <c r="B25" i="14"/>
  <c r="C25" i="14"/>
  <c r="D25" i="14"/>
  <c r="E25" i="14"/>
  <c r="F25" i="14"/>
  <c r="H25" i="14"/>
  <c r="I25" i="14"/>
  <c r="J25" i="14"/>
  <c r="K25" i="14"/>
  <c r="M25" i="14"/>
  <c r="A25" i="15"/>
  <c r="B25" i="15"/>
  <c r="C25" i="15"/>
  <c r="D25" i="15"/>
  <c r="E25" i="15"/>
  <c r="F25" i="15"/>
  <c r="H25" i="15"/>
  <c r="I25" i="15"/>
  <c r="J25" i="15"/>
  <c r="K25" i="15"/>
  <c r="M25" i="15"/>
  <c r="A26" i="15"/>
  <c r="B26" i="15"/>
  <c r="C26" i="15"/>
  <c r="D26" i="15"/>
  <c r="E26" i="15"/>
  <c r="F26" i="15"/>
  <c r="H26" i="15"/>
  <c r="I26" i="15"/>
  <c r="J26" i="15"/>
  <c r="K26" i="15"/>
  <c r="M26" i="15"/>
  <c r="L52" i="12"/>
  <c r="L29" i="17" s="1"/>
  <c r="M52" i="12"/>
  <c r="P52" i="12"/>
  <c r="L38" i="12"/>
  <c r="L29" i="16" s="1"/>
  <c r="M38" i="12"/>
  <c r="P38" i="12"/>
  <c r="P51" i="12"/>
  <c r="L51" i="12"/>
  <c r="L28" i="17" s="1"/>
  <c r="M51" i="12"/>
  <c r="P143" i="12"/>
  <c r="P144" i="12"/>
  <c r="L143" i="12"/>
  <c r="L27" i="24" s="1"/>
  <c r="M143" i="12"/>
  <c r="L144" i="12"/>
  <c r="M144" i="12"/>
  <c r="P90" i="12"/>
  <c r="P91" i="12"/>
  <c r="L90" i="12"/>
  <c r="L28" i="20" s="1"/>
  <c r="M90" i="12"/>
  <c r="L91" i="12"/>
  <c r="M91" i="12"/>
  <c r="P115" i="12"/>
  <c r="L115" i="12"/>
  <c r="L28" i="22" s="1"/>
  <c r="M115" i="12"/>
  <c r="P65" i="12"/>
  <c r="L65" i="12"/>
  <c r="L28" i="18" s="1"/>
  <c r="M65" i="12"/>
  <c r="P129" i="12"/>
  <c r="L129" i="12"/>
  <c r="L27" i="23" s="1"/>
  <c r="M129" i="12"/>
  <c r="P156" i="12"/>
  <c r="L156" i="12"/>
  <c r="L15" i="26" s="1"/>
  <c r="M156" i="12"/>
  <c r="P77" i="12"/>
  <c r="L77" i="12"/>
  <c r="L27" i="19" s="1"/>
  <c r="M77" i="12"/>
  <c r="P36" i="12"/>
  <c r="P37" i="12"/>
  <c r="L36" i="12"/>
  <c r="L27" i="16" s="1"/>
  <c r="M36" i="12"/>
  <c r="L37" i="12"/>
  <c r="L28" i="16" s="1"/>
  <c r="M37" i="12"/>
  <c r="P128" i="12"/>
  <c r="L128" i="12"/>
  <c r="L26" i="23" s="1"/>
  <c r="M128" i="12"/>
  <c r="P113" i="12"/>
  <c r="P114" i="12"/>
  <c r="L113" i="12"/>
  <c r="L26" i="22" s="1"/>
  <c r="M113" i="12"/>
  <c r="L114" i="12"/>
  <c r="L27" i="22" s="1"/>
  <c r="M114" i="12"/>
  <c r="P64" i="12"/>
  <c r="L64" i="12"/>
  <c r="L27" i="18" s="1"/>
  <c r="M64" i="12"/>
  <c r="P154" i="12"/>
  <c r="P155" i="12"/>
  <c r="L154" i="12"/>
  <c r="L13" i="26" s="1"/>
  <c r="M154" i="12"/>
  <c r="L155" i="12"/>
  <c r="L14" i="26" s="1"/>
  <c r="M155" i="12"/>
  <c r="P50" i="12"/>
  <c r="L49" i="12"/>
  <c r="L26" i="17" s="1"/>
  <c r="M49" i="12"/>
  <c r="L50" i="12"/>
  <c r="L27" i="17" s="1"/>
  <c r="M50" i="12"/>
  <c r="P49" i="12"/>
  <c r="G50" i="12"/>
  <c r="G27" i="17" s="1"/>
  <c r="P127" i="12"/>
  <c r="L127" i="12"/>
  <c r="L25" i="23" s="1"/>
  <c r="M127" i="12"/>
  <c r="P141" i="12"/>
  <c r="P142" i="12"/>
  <c r="L141" i="12"/>
  <c r="L25" i="24" s="1"/>
  <c r="M141" i="12"/>
  <c r="L142" i="12"/>
  <c r="L26" i="24" s="1"/>
  <c r="M142" i="12"/>
  <c r="G142" i="12"/>
  <c r="G26" i="24" s="1"/>
  <c r="P88" i="12"/>
  <c r="P89" i="12"/>
  <c r="L88" i="12"/>
  <c r="L26" i="20" s="1"/>
  <c r="M88" i="12"/>
  <c r="L89" i="12"/>
  <c r="L27" i="20" s="1"/>
  <c r="M89" i="12"/>
  <c r="L87" i="12"/>
  <c r="L25" i="20" s="1"/>
  <c r="G89" i="12"/>
  <c r="G27" i="20" s="1"/>
  <c r="P126" i="12"/>
  <c r="L126" i="12"/>
  <c r="L24" i="23" s="1"/>
  <c r="M126" i="12"/>
  <c r="G127" i="12"/>
  <c r="G25" i="23" s="1"/>
  <c r="P112" i="12"/>
  <c r="L112" i="12"/>
  <c r="L25" i="22" s="1"/>
  <c r="M112" i="12"/>
  <c r="G113" i="12"/>
  <c r="G26" i="22" s="1"/>
  <c r="P102" i="12"/>
  <c r="L102" i="12"/>
  <c r="L26" i="21" s="1"/>
  <c r="M102" i="12"/>
  <c r="G102" i="12"/>
  <c r="G26" i="21" s="1"/>
  <c r="P34" i="12"/>
  <c r="P35" i="12"/>
  <c r="L34" i="12"/>
  <c r="L25" i="16" s="1"/>
  <c r="M34" i="12"/>
  <c r="L35" i="12"/>
  <c r="L26" i="16" s="1"/>
  <c r="M35" i="12"/>
  <c r="G35" i="12"/>
  <c r="G26" i="16" s="1"/>
  <c r="P48" i="12"/>
  <c r="L48" i="12"/>
  <c r="L25" i="17" s="1"/>
  <c r="M48" i="12"/>
  <c r="G49" i="12"/>
  <c r="G26" i="17" s="1"/>
  <c r="P75" i="12"/>
  <c r="P76" i="12"/>
  <c r="L75" i="12"/>
  <c r="L25" i="19" s="1"/>
  <c r="M75" i="12"/>
  <c r="L76" i="12"/>
  <c r="L26" i="19" s="1"/>
  <c r="M76" i="12"/>
  <c r="G76" i="12"/>
  <c r="G26" i="19" s="1"/>
  <c r="P62" i="12"/>
  <c r="P63" i="12"/>
  <c r="L62" i="12"/>
  <c r="L25" i="18" s="1"/>
  <c r="M62" i="12"/>
  <c r="L63" i="12"/>
  <c r="G63" i="12"/>
  <c r="G26" i="18" s="1"/>
  <c r="P11" i="12"/>
  <c r="P12" i="12"/>
  <c r="P13" i="12"/>
  <c r="L11" i="12"/>
  <c r="L25" i="15" s="1"/>
  <c r="M11" i="12"/>
  <c r="L12" i="12"/>
  <c r="L26" i="15" s="1"/>
  <c r="M12" i="12"/>
  <c r="L13" i="12"/>
  <c r="M13" i="12"/>
  <c r="G13" i="12"/>
  <c r="P23" i="12"/>
  <c r="L23" i="12"/>
  <c r="L25" i="14" s="1"/>
  <c r="M23" i="12"/>
  <c r="P101" i="12"/>
  <c r="L101" i="12"/>
  <c r="L25" i="21" s="1"/>
  <c r="M101" i="12"/>
  <c r="P140" i="12"/>
  <c r="L140" i="12"/>
  <c r="L24" i="24" s="1"/>
  <c r="M140" i="12"/>
  <c r="G141" i="12"/>
  <c r="G25" i="24" s="1"/>
  <c r="P87" i="12"/>
  <c r="M87" i="12"/>
  <c r="G88" i="12"/>
  <c r="G26" i="20" s="1"/>
  <c r="G62" i="12"/>
  <c r="G25" i="18" s="1"/>
  <c r="G75" i="12"/>
  <c r="G25" i="19" s="1"/>
  <c r="G12" i="12"/>
  <c r="G26" i="15" s="1"/>
  <c r="G24" i="12"/>
  <c r="G23" i="12"/>
  <c r="G25" i="14" s="1"/>
  <c r="G48" i="12"/>
  <c r="G25" i="17" s="1"/>
  <c r="G34" i="12"/>
  <c r="G25" i="16" s="1"/>
  <c r="G86" i="12"/>
  <c r="G87" i="12"/>
  <c r="G25" i="20" s="1"/>
  <c r="G140" i="12"/>
  <c r="G24" i="24" s="1"/>
  <c r="G101" i="12"/>
  <c r="G25" i="21" s="1"/>
  <c r="G112" i="12"/>
  <c r="G25" i="22" s="1"/>
  <c r="G126" i="12"/>
  <c r="G24" i="23" s="1"/>
  <c r="G11" i="12"/>
  <c r="G25" i="15" s="1"/>
  <c r="L110" i="12"/>
  <c r="G11" i="24"/>
  <c r="G10" i="24"/>
  <c r="G9" i="24"/>
  <c r="G8" i="24"/>
  <c r="G7" i="24"/>
  <c r="G6" i="24"/>
  <c r="G5" i="24"/>
  <c r="G4" i="24"/>
  <c r="K16" i="23"/>
  <c r="K17" i="23"/>
  <c r="K18" i="23"/>
  <c r="K19" i="23"/>
  <c r="K20" i="23"/>
  <c r="K21" i="23"/>
  <c r="K22" i="23"/>
  <c r="K23" i="23"/>
  <c r="M16" i="23"/>
  <c r="M17" i="23"/>
  <c r="M18" i="23"/>
  <c r="M19" i="23"/>
  <c r="M20" i="23"/>
  <c r="M21" i="23"/>
  <c r="M22" i="23"/>
  <c r="M23" i="23"/>
  <c r="M15" i="23"/>
  <c r="K15" i="23"/>
  <c r="B15" i="23"/>
  <c r="C15" i="23"/>
  <c r="D15" i="23"/>
  <c r="E15" i="23"/>
  <c r="F15" i="23"/>
  <c r="H15" i="23"/>
  <c r="I15" i="23"/>
  <c r="J15" i="23"/>
  <c r="B16" i="23"/>
  <c r="C16" i="23"/>
  <c r="D16" i="23"/>
  <c r="E16" i="23"/>
  <c r="F16" i="23"/>
  <c r="H16" i="23"/>
  <c r="I16" i="23"/>
  <c r="J16" i="23"/>
  <c r="B17" i="23"/>
  <c r="C17" i="23"/>
  <c r="D17" i="23"/>
  <c r="E17" i="23"/>
  <c r="F17" i="23"/>
  <c r="H17" i="23"/>
  <c r="I17" i="23"/>
  <c r="J17" i="23"/>
  <c r="B18" i="23"/>
  <c r="C18" i="23"/>
  <c r="D18" i="23"/>
  <c r="E18" i="23"/>
  <c r="F18" i="23"/>
  <c r="H18" i="23"/>
  <c r="I18" i="23"/>
  <c r="J18" i="23"/>
  <c r="B19" i="23"/>
  <c r="C19" i="23"/>
  <c r="D19" i="23"/>
  <c r="E19" i="23"/>
  <c r="F19" i="23"/>
  <c r="H19" i="23"/>
  <c r="I19" i="23"/>
  <c r="J19" i="23"/>
  <c r="B20" i="23"/>
  <c r="C20" i="23"/>
  <c r="D20" i="23"/>
  <c r="E20" i="23"/>
  <c r="F20" i="23"/>
  <c r="H20" i="23"/>
  <c r="I20" i="23"/>
  <c r="J20" i="23"/>
  <c r="B21" i="23"/>
  <c r="C21" i="23"/>
  <c r="D21" i="23"/>
  <c r="E21" i="23"/>
  <c r="F21" i="23"/>
  <c r="H21" i="23"/>
  <c r="I21" i="23"/>
  <c r="J21" i="23"/>
  <c r="B22" i="23"/>
  <c r="C22" i="23"/>
  <c r="D22" i="23"/>
  <c r="E22" i="23"/>
  <c r="F22" i="23"/>
  <c r="H22" i="23"/>
  <c r="I22" i="23"/>
  <c r="J22" i="23"/>
  <c r="B23" i="23"/>
  <c r="C23" i="23"/>
  <c r="D23" i="23"/>
  <c r="E23" i="23"/>
  <c r="F23" i="23"/>
  <c r="H23" i="23"/>
  <c r="I23" i="23"/>
  <c r="J23" i="23"/>
  <c r="A16" i="23"/>
  <c r="A17" i="23"/>
  <c r="A18" i="23"/>
  <c r="A19" i="23"/>
  <c r="A20" i="23"/>
  <c r="A21" i="23"/>
  <c r="A22" i="23"/>
  <c r="A23" i="23"/>
  <c r="A15" i="23"/>
  <c r="G11" i="23"/>
  <c r="G10" i="23"/>
  <c r="G9" i="23"/>
  <c r="G8" i="23"/>
  <c r="G7" i="23"/>
  <c r="G6" i="23"/>
  <c r="G5" i="23"/>
  <c r="G4" i="23"/>
  <c r="M17" i="22"/>
  <c r="M18" i="22"/>
  <c r="M19" i="22"/>
  <c r="M20" i="22"/>
  <c r="M21" i="22"/>
  <c r="M22" i="22"/>
  <c r="M23" i="22"/>
  <c r="M24" i="22"/>
  <c r="K17" i="22"/>
  <c r="K18" i="22"/>
  <c r="K19" i="22"/>
  <c r="K20" i="22"/>
  <c r="K21" i="22"/>
  <c r="K22" i="22"/>
  <c r="K23" i="22"/>
  <c r="K24" i="22"/>
  <c r="M16" i="22"/>
  <c r="K16" i="22"/>
  <c r="B16" i="22"/>
  <c r="C16" i="22"/>
  <c r="D16" i="22"/>
  <c r="E16" i="22"/>
  <c r="F16" i="22"/>
  <c r="H16" i="22"/>
  <c r="I16" i="22"/>
  <c r="J16" i="22"/>
  <c r="B17" i="22"/>
  <c r="C17" i="22"/>
  <c r="D17" i="22"/>
  <c r="E17" i="22"/>
  <c r="F17" i="22"/>
  <c r="H17" i="22"/>
  <c r="I17" i="22"/>
  <c r="J17" i="22"/>
  <c r="B18" i="22"/>
  <c r="C18" i="22"/>
  <c r="D18" i="22"/>
  <c r="E18" i="22"/>
  <c r="F18" i="22"/>
  <c r="H18" i="22"/>
  <c r="I18" i="22"/>
  <c r="J18" i="22"/>
  <c r="B19" i="22"/>
  <c r="C19" i="22"/>
  <c r="D19" i="22"/>
  <c r="E19" i="22"/>
  <c r="F19" i="22"/>
  <c r="H19" i="22"/>
  <c r="I19" i="22"/>
  <c r="J19" i="22"/>
  <c r="B20" i="22"/>
  <c r="C20" i="22"/>
  <c r="D20" i="22"/>
  <c r="E20" i="22"/>
  <c r="F20" i="22"/>
  <c r="H20" i="22"/>
  <c r="I20" i="22"/>
  <c r="J20" i="22"/>
  <c r="B21" i="22"/>
  <c r="C21" i="22"/>
  <c r="D21" i="22"/>
  <c r="E21" i="22"/>
  <c r="F21" i="22"/>
  <c r="H21" i="22"/>
  <c r="I21" i="22"/>
  <c r="J21" i="22"/>
  <c r="B22" i="22"/>
  <c r="C22" i="22"/>
  <c r="D22" i="22"/>
  <c r="E22" i="22"/>
  <c r="F22" i="22"/>
  <c r="H22" i="22"/>
  <c r="I22" i="22"/>
  <c r="J22" i="22"/>
  <c r="B23" i="22"/>
  <c r="C23" i="22"/>
  <c r="D23" i="22"/>
  <c r="E23" i="22"/>
  <c r="F23" i="22"/>
  <c r="H23" i="22"/>
  <c r="I23" i="22"/>
  <c r="J23" i="22"/>
  <c r="B24" i="22"/>
  <c r="C24" i="22"/>
  <c r="D24" i="22"/>
  <c r="E24" i="22"/>
  <c r="F24" i="22"/>
  <c r="H24" i="22"/>
  <c r="I24" i="22"/>
  <c r="J24" i="22"/>
  <c r="A17" i="22"/>
  <c r="A18" i="22"/>
  <c r="A19" i="22"/>
  <c r="A20" i="22"/>
  <c r="A21" i="22"/>
  <c r="A22" i="22"/>
  <c r="A23" i="22"/>
  <c r="A24" i="22"/>
  <c r="A16" i="22"/>
  <c r="G12" i="22"/>
  <c r="G11" i="22"/>
  <c r="G10" i="22"/>
  <c r="G9" i="22"/>
  <c r="G8" i="22"/>
  <c r="G7" i="22"/>
  <c r="G6" i="22"/>
  <c r="G5" i="22"/>
  <c r="G4" i="22"/>
  <c r="A16" i="21"/>
  <c r="M17" i="21"/>
  <c r="M18" i="21"/>
  <c r="M19" i="21"/>
  <c r="M20" i="21"/>
  <c r="M21" i="21"/>
  <c r="M22" i="21"/>
  <c r="M23" i="21"/>
  <c r="M24" i="21"/>
  <c r="K17" i="21"/>
  <c r="K18" i="21"/>
  <c r="K19" i="21"/>
  <c r="K20" i="21"/>
  <c r="K21" i="21"/>
  <c r="K22" i="21"/>
  <c r="K23" i="21"/>
  <c r="K24" i="21"/>
  <c r="M16" i="21"/>
  <c r="K16" i="21"/>
  <c r="B16" i="21"/>
  <c r="C16" i="21"/>
  <c r="D16" i="21"/>
  <c r="E16" i="21"/>
  <c r="F16" i="21"/>
  <c r="H16" i="21"/>
  <c r="I16" i="21"/>
  <c r="J16" i="21"/>
  <c r="B17" i="21"/>
  <c r="C17" i="21"/>
  <c r="D17" i="21"/>
  <c r="E17" i="21"/>
  <c r="F17" i="21"/>
  <c r="H17" i="21"/>
  <c r="I17" i="21"/>
  <c r="J17" i="21"/>
  <c r="B18" i="21"/>
  <c r="C18" i="21"/>
  <c r="D18" i="21"/>
  <c r="E18" i="21"/>
  <c r="F18" i="21"/>
  <c r="H18" i="21"/>
  <c r="I18" i="21"/>
  <c r="J18" i="21"/>
  <c r="B19" i="21"/>
  <c r="C19" i="21"/>
  <c r="D19" i="21"/>
  <c r="E19" i="21"/>
  <c r="F19" i="21"/>
  <c r="H19" i="21"/>
  <c r="I19" i="21"/>
  <c r="J19" i="21"/>
  <c r="B20" i="21"/>
  <c r="C20" i="21"/>
  <c r="D20" i="21"/>
  <c r="E20" i="21"/>
  <c r="F20" i="21"/>
  <c r="H20" i="21"/>
  <c r="I20" i="21"/>
  <c r="J20" i="21"/>
  <c r="B21" i="21"/>
  <c r="C21" i="21"/>
  <c r="D21" i="21"/>
  <c r="E21" i="21"/>
  <c r="F21" i="21"/>
  <c r="H21" i="21"/>
  <c r="I21" i="21"/>
  <c r="J21" i="21"/>
  <c r="B22" i="21"/>
  <c r="C22" i="21"/>
  <c r="D22" i="21"/>
  <c r="E22" i="21"/>
  <c r="F22" i="21"/>
  <c r="H22" i="21"/>
  <c r="I22" i="21"/>
  <c r="J22" i="21"/>
  <c r="B23" i="21"/>
  <c r="C23" i="21"/>
  <c r="D23" i="21"/>
  <c r="E23" i="21"/>
  <c r="F23" i="21"/>
  <c r="H23" i="21"/>
  <c r="I23" i="21"/>
  <c r="J23" i="21"/>
  <c r="B24" i="21"/>
  <c r="C24" i="21"/>
  <c r="D24" i="21"/>
  <c r="E24" i="21"/>
  <c r="F24" i="21"/>
  <c r="H24" i="21"/>
  <c r="I24" i="21"/>
  <c r="J24" i="21"/>
  <c r="A23" i="21"/>
  <c r="A24" i="21"/>
  <c r="A17" i="21"/>
  <c r="A18" i="21"/>
  <c r="A19" i="21"/>
  <c r="A20" i="21"/>
  <c r="A21" i="21"/>
  <c r="A22" i="21"/>
  <c r="G12" i="21"/>
  <c r="G11" i="21"/>
  <c r="G10" i="21"/>
  <c r="G9" i="21"/>
  <c r="G8" i="21"/>
  <c r="G7" i="21"/>
  <c r="G6" i="21"/>
  <c r="G5" i="21"/>
  <c r="G4" i="21"/>
  <c r="M17" i="20"/>
  <c r="M18" i="20"/>
  <c r="M19" i="20"/>
  <c r="M20" i="20"/>
  <c r="M21" i="20"/>
  <c r="M22" i="20"/>
  <c r="M23" i="20"/>
  <c r="M24" i="20"/>
  <c r="M16" i="20"/>
  <c r="K17" i="20"/>
  <c r="K18" i="20"/>
  <c r="K19" i="20"/>
  <c r="K20" i="20"/>
  <c r="K21" i="20"/>
  <c r="K22" i="20"/>
  <c r="K23" i="20"/>
  <c r="K24" i="20"/>
  <c r="K16" i="20"/>
  <c r="B16" i="20"/>
  <c r="C16" i="20"/>
  <c r="D16" i="20"/>
  <c r="E16" i="20"/>
  <c r="F16" i="20"/>
  <c r="H16" i="20"/>
  <c r="I16" i="20"/>
  <c r="J16" i="20"/>
  <c r="B17" i="20"/>
  <c r="C17" i="20"/>
  <c r="D17" i="20"/>
  <c r="E17" i="20"/>
  <c r="F17" i="20"/>
  <c r="H17" i="20"/>
  <c r="I17" i="20"/>
  <c r="J17" i="20"/>
  <c r="B18" i="20"/>
  <c r="C18" i="20"/>
  <c r="D18" i="20"/>
  <c r="E18" i="20"/>
  <c r="F18" i="20"/>
  <c r="H18" i="20"/>
  <c r="I18" i="20"/>
  <c r="J18" i="20"/>
  <c r="B19" i="20"/>
  <c r="C19" i="20"/>
  <c r="D19" i="20"/>
  <c r="E19" i="20"/>
  <c r="F19" i="20"/>
  <c r="H19" i="20"/>
  <c r="I19" i="20"/>
  <c r="J19" i="20"/>
  <c r="B20" i="20"/>
  <c r="C20" i="20"/>
  <c r="D20" i="20"/>
  <c r="E20" i="20"/>
  <c r="F20" i="20"/>
  <c r="H20" i="20"/>
  <c r="I20" i="20"/>
  <c r="J20" i="20"/>
  <c r="B21" i="20"/>
  <c r="C21" i="20"/>
  <c r="D21" i="20"/>
  <c r="E21" i="20"/>
  <c r="F21" i="20"/>
  <c r="H21" i="20"/>
  <c r="I21" i="20"/>
  <c r="J21" i="20"/>
  <c r="B22" i="20"/>
  <c r="C22" i="20"/>
  <c r="D22" i="20"/>
  <c r="E22" i="20"/>
  <c r="F22" i="20"/>
  <c r="H22" i="20"/>
  <c r="I22" i="20"/>
  <c r="J22" i="20"/>
  <c r="B23" i="20"/>
  <c r="C23" i="20"/>
  <c r="D23" i="20"/>
  <c r="E23" i="20"/>
  <c r="F23" i="20"/>
  <c r="H23" i="20"/>
  <c r="I23" i="20"/>
  <c r="J23" i="20"/>
  <c r="B24" i="20"/>
  <c r="C24" i="20"/>
  <c r="D24" i="20"/>
  <c r="E24" i="20"/>
  <c r="F24" i="20"/>
  <c r="H24" i="20"/>
  <c r="I24" i="20"/>
  <c r="J24" i="20"/>
  <c r="A23" i="20"/>
  <c r="A24" i="20"/>
  <c r="A17" i="20"/>
  <c r="A18" i="20"/>
  <c r="A19" i="20"/>
  <c r="A20" i="20"/>
  <c r="A21" i="20"/>
  <c r="A22" i="20"/>
  <c r="A16" i="20"/>
  <c r="G12" i="20"/>
  <c r="G11" i="20"/>
  <c r="G10" i="20"/>
  <c r="G9" i="20"/>
  <c r="G8" i="20"/>
  <c r="G7" i="20"/>
  <c r="G6" i="20"/>
  <c r="G5" i="20"/>
  <c r="G4" i="20"/>
  <c r="M17" i="19"/>
  <c r="M18" i="19"/>
  <c r="M19" i="19"/>
  <c r="M20" i="19"/>
  <c r="M21" i="19"/>
  <c r="M22" i="19"/>
  <c r="M23" i="19"/>
  <c r="M24" i="19"/>
  <c r="M16" i="19"/>
  <c r="K17" i="19"/>
  <c r="K18" i="19"/>
  <c r="K19" i="19"/>
  <c r="K20" i="19"/>
  <c r="K21" i="19"/>
  <c r="K22" i="19"/>
  <c r="K23" i="19"/>
  <c r="K24" i="19"/>
  <c r="K16" i="19"/>
  <c r="A24" i="19"/>
  <c r="B24" i="19"/>
  <c r="C24" i="19"/>
  <c r="D24" i="19"/>
  <c r="E24" i="19"/>
  <c r="F24" i="19"/>
  <c r="H24" i="19"/>
  <c r="I24" i="19"/>
  <c r="J24" i="19"/>
  <c r="A23" i="19"/>
  <c r="B23" i="19"/>
  <c r="C23" i="19"/>
  <c r="D23" i="19"/>
  <c r="E23" i="19"/>
  <c r="F23" i="19"/>
  <c r="H23" i="19"/>
  <c r="I23" i="19"/>
  <c r="J23" i="19"/>
  <c r="B16" i="19"/>
  <c r="C16" i="19"/>
  <c r="D16" i="19"/>
  <c r="E16" i="19"/>
  <c r="F16" i="19"/>
  <c r="H16" i="19"/>
  <c r="I16" i="19"/>
  <c r="J16" i="19"/>
  <c r="B17" i="19"/>
  <c r="C17" i="19"/>
  <c r="D17" i="19"/>
  <c r="E17" i="19"/>
  <c r="F17" i="19"/>
  <c r="H17" i="19"/>
  <c r="I17" i="19"/>
  <c r="J17" i="19"/>
  <c r="B18" i="19"/>
  <c r="C18" i="19"/>
  <c r="D18" i="19"/>
  <c r="E18" i="19"/>
  <c r="F18" i="19"/>
  <c r="H18" i="19"/>
  <c r="I18" i="19"/>
  <c r="J18" i="19"/>
  <c r="B19" i="19"/>
  <c r="C19" i="19"/>
  <c r="D19" i="19"/>
  <c r="E19" i="19"/>
  <c r="F19" i="19"/>
  <c r="H19" i="19"/>
  <c r="I19" i="19"/>
  <c r="J19" i="19"/>
  <c r="B20" i="19"/>
  <c r="C20" i="19"/>
  <c r="D20" i="19"/>
  <c r="E20" i="19"/>
  <c r="F20" i="19"/>
  <c r="H20" i="19"/>
  <c r="I20" i="19"/>
  <c r="J20" i="19"/>
  <c r="B21" i="19"/>
  <c r="C21" i="19"/>
  <c r="D21" i="19"/>
  <c r="E21" i="19"/>
  <c r="F21" i="19"/>
  <c r="H21" i="19"/>
  <c r="I21" i="19"/>
  <c r="J21" i="19"/>
  <c r="B22" i="19"/>
  <c r="C22" i="19"/>
  <c r="D22" i="19"/>
  <c r="E22" i="19"/>
  <c r="F22" i="19"/>
  <c r="H22" i="19"/>
  <c r="I22" i="19"/>
  <c r="J22" i="19"/>
  <c r="A17" i="19"/>
  <c r="A18" i="19"/>
  <c r="A19" i="19"/>
  <c r="A20" i="19"/>
  <c r="A21" i="19"/>
  <c r="A22" i="19"/>
  <c r="A16" i="19"/>
  <c r="G12" i="19"/>
  <c r="G11" i="19"/>
  <c r="G10" i="19"/>
  <c r="G9" i="19"/>
  <c r="G8" i="19"/>
  <c r="G7" i="19"/>
  <c r="G6" i="19"/>
  <c r="G5" i="19"/>
  <c r="G4" i="19"/>
  <c r="M17" i="18"/>
  <c r="M18" i="18"/>
  <c r="M19" i="18"/>
  <c r="M20" i="18"/>
  <c r="M21" i="18"/>
  <c r="M22" i="18"/>
  <c r="M23" i="18"/>
  <c r="M24" i="18"/>
  <c r="M16" i="18"/>
  <c r="K17" i="18"/>
  <c r="K18" i="18"/>
  <c r="K19" i="18"/>
  <c r="K20" i="18"/>
  <c r="K21" i="18"/>
  <c r="K22" i="18"/>
  <c r="K23" i="18"/>
  <c r="K24" i="18"/>
  <c r="K16" i="18"/>
  <c r="B16" i="18"/>
  <c r="C16" i="18"/>
  <c r="D16" i="18"/>
  <c r="E16" i="18"/>
  <c r="F16" i="18"/>
  <c r="H16" i="18"/>
  <c r="I16" i="18"/>
  <c r="J16" i="18"/>
  <c r="B17" i="18"/>
  <c r="C17" i="18"/>
  <c r="D17" i="18"/>
  <c r="E17" i="18"/>
  <c r="F17" i="18"/>
  <c r="H17" i="18"/>
  <c r="I17" i="18"/>
  <c r="J17" i="18"/>
  <c r="B18" i="18"/>
  <c r="C18" i="18"/>
  <c r="D18" i="18"/>
  <c r="E18" i="18"/>
  <c r="F18" i="18"/>
  <c r="H18" i="18"/>
  <c r="I18" i="18"/>
  <c r="J18" i="18"/>
  <c r="B19" i="18"/>
  <c r="C19" i="18"/>
  <c r="D19" i="18"/>
  <c r="E19" i="18"/>
  <c r="F19" i="18"/>
  <c r="H19" i="18"/>
  <c r="I19" i="18"/>
  <c r="J19" i="18"/>
  <c r="B20" i="18"/>
  <c r="C20" i="18"/>
  <c r="D20" i="18"/>
  <c r="E20" i="18"/>
  <c r="F20" i="18"/>
  <c r="H20" i="18"/>
  <c r="I20" i="18"/>
  <c r="J20" i="18"/>
  <c r="B21" i="18"/>
  <c r="C21" i="18"/>
  <c r="D21" i="18"/>
  <c r="E21" i="18"/>
  <c r="F21" i="18"/>
  <c r="H21" i="18"/>
  <c r="I21" i="18"/>
  <c r="J21" i="18"/>
  <c r="B22" i="18"/>
  <c r="C22" i="18"/>
  <c r="D22" i="18"/>
  <c r="E22" i="18"/>
  <c r="F22" i="18"/>
  <c r="H22" i="18"/>
  <c r="I22" i="18"/>
  <c r="J22" i="18"/>
  <c r="B23" i="18"/>
  <c r="C23" i="18"/>
  <c r="D23" i="18"/>
  <c r="E23" i="18"/>
  <c r="F23" i="18"/>
  <c r="H23" i="18"/>
  <c r="I23" i="18"/>
  <c r="J23" i="18"/>
  <c r="B24" i="18"/>
  <c r="C24" i="18"/>
  <c r="D24" i="18"/>
  <c r="E24" i="18"/>
  <c r="F24" i="18"/>
  <c r="H24" i="18"/>
  <c r="I24" i="18"/>
  <c r="J24" i="18"/>
  <c r="A17" i="18"/>
  <c r="A18" i="18"/>
  <c r="A19" i="18"/>
  <c r="A20" i="18"/>
  <c r="A21" i="18"/>
  <c r="A22" i="18"/>
  <c r="A23" i="18"/>
  <c r="A24" i="18"/>
  <c r="A16" i="18"/>
  <c r="G12" i="18"/>
  <c r="G11" i="18"/>
  <c r="G10" i="18"/>
  <c r="G9" i="18"/>
  <c r="G8" i="18"/>
  <c r="G7" i="18"/>
  <c r="G6" i="18"/>
  <c r="G5" i="18"/>
  <c r="G4" i="18"/>
  <c r="M17" i="17"/>
  <c r="M18" i="17"/>
  <c r="M19" i="17"/>
  <c r="M20" i="17"/>
  <c r="M21" i="17"/>
  <c r="M22" i="17"/>
  <c r="M23" i="17"/>
  <c r="M24" i="17"/>
  <c r="M16" i="17"/>
  <c r="K17" i="17"/>
  <c r="K18" i="17"/>
  <c r="K19" i="17"/>
  <c r="K20" i="17"/>
  <c r="K21" i="17"/>
  <c r="K22" i="17"/>
  <c r="K23" i="17"/>
  <c r="K24" i="17"/>
  <c r="K16" i="17"/>
  <c r="B16" i="17"/>
  <c r="C16" i="17"/>
  <c r="D16" i="17"/>
  <c r="E16" i="17"/>
  <c r="F16" i="17"/>
  <c r="H16" i="17"/>
  <c r="I16" i="17"/>
  <c r="J16" i="17"/>
  <c r="B17" i="17"/>
  <c r="C17" i="17"/>
  <c r="D17" i="17"/>
  <c r="E17" i="17"/>
  <c r="F17" i="17"/>
  <c r="H17" i="17"/>
  <c r="I17" i="17"/>
  <c r="J17" i="17"/>
  <c r="B18" i="17"/>
  <c r="C18" i="17"/>
  <c r="D18" i="17"/>
  <c r="E18" i="17"/>
  <c r="F18" i="17"/>
  <c r="H18" i="17"/>
  <c r="I18" i="17"/>
  <c r="J18" i="17"/>
  <c r="B19" i="17"/>
  <c r="C19" i="17"/>
  <c r="D19" i="17"/>
  <c r="E19" i="17"/>
  <c r="F19" i="17"/>
  <c r="H19" i="17"/>
  <c r="I19" i="17"/>
  <c r="J19" i="17"/>
  <c r="B20" i="17"/>
  <c r="C20" i="17"/>
  <c r="D20" i="17"/>
  <c r="E20" i="17"/>
  <c r="F20" i="17"/>
  <c r="H20" i="17"/>
  <c r="I20" i="17"/>
  <c r="J20" i="17"/>
  <c r="B21" i="17"/>
  <c r="C21" i="17"/>
  <c r="D21" i="17"/>
  <c r="E21" i="17"/>
  <c r="F21" i="17"/>
  <c r="H21" i="17"/>
  <c r="I21" i="17"/>
  <c r="J21" i="17"/>
  <c r="B22" i="17"/>
  <c r="C22" i="17"/>
  <c r="D22" i="17"/>
  <c r="E22" i="17"/>
  <c r="F22" i="17"/>
  <c r="H22" i="17"/>
  <c r="I22" i="17"/>
  <c r="J22" i="17"/>
  <c r="B23" i="17"/>
  <c r="C23" i="17"/>
  <c r="D23" i="17"/>
  <c r="E23" i="17"/>
  <c r="F23" i="17"/>
  <c r="H23" i="17"/>
  <c r="I23" i="17"/>
  <c r="J23" i="17"/>
  <c r="B24" i="17"/>
  <c r="C24" i="17"/>
  <c r="D24" i="17"/>
  <c r="E24" i="17"/>
  <c r="F24" i="17"/>
  <c r="H24" i="17"/>
  <c r="I24" i="17"/>
  <c r="J24" i="17"/>
  <c r="A24" i="17"/>
  <c r="A17" i="17"/>
  <c r="A18" i="17"/>
  <c r="A19" i="17"/>
  <c r="A20" i="17"/>
  <c r="A21" i="17"/>
  <c r="A22" i="17"/>
  <c r="A23" i="17"/>
  <c r="A16" i="17"/>
  <c r="G12" i="17"/>
  <c r="G11" i="17"/>
  <c r="G10" i="17"/>
  <c r="G9" i="17"/>
  <c r="G8" i="17"/>
  <c r="G7" i="17"/>
  <c r="G6" i="17"/>
  <c r="G5" i="17"/>
  <c r="G4" i="17"/>
  <c r="M17" i="16"/>
  <c r="M18" i="16"/>
  <c r="M19" i="16"/>
  <c r="M20" i="16"/>
  <c r="M21" i="16"/>
  <c r="M22" i="16"/>
  <c r="M23" i="16"/>
  <c r="M24" i="16"/>
  <c r="M16" i="16"/>
  <c r="K17" i="16"/>
  <c r="K18" i="16"/>
  <c r="K19" i="16"/>
  <c r="K20" i="16"/>
  <c r="K21" i="16"/>
  <c r="K22" i="16"/>
  <c r="K23" i="16"/>
  <c r="K24" i="16"/>
  <c r="K16" i="16"/>
  <c r="B16" i="16"/>
  <c r="C16" i="16"/>
  <c r="D16" i="16"/>
  <c r="E16" i="16"/>
  <c r="F16" i="16"/>
  <c r="H16" i="16"/>
  <c r="I16" i="16"/>
  <c r="J16" i="16"/>
  <c r="B17" i="16"/>
  <c r="C17" i="16"/>
  <c r="D17" i="16"/>
  <c r="E17" i="16"/>
  <c r="F17" i="16"/>
  <c r="H17" i="16"/>
  <c r="I17" i="16"/>
  <c r="J17" i="16"/>
  <c r="B18" i="16"/>
  <c r="C18" i="16"/>
  <c r="D18" i="16"/>
  <c r="E18" i="16"/>
  <c r="F18" i="16"/>
  <c r="H18" i="16"/>
  <c r="I18" i="16"/>
  <c r="J18" i="16"/>
  <c r="B19" i="16"/>
  <c r="C19" i="16"/>
  <c r="D19" i="16"/>
  <c r="E19" i="16"/>
  <c r="F19" i="16"/>
  <c r="H19" i="16"/>
  <c r="I19" i="16"/>
  <c r="J19" i="16"/>
  <c r="B20" i="16"/>
  <c r="C20" i="16"/>
  <c r="D20" i="16"/>
  <c r="E20" i="16"/>
  <c r="F20" i="16"/>
  <c r="H20" i="16"/>
  <c r="I20" i="16"/>
  <c r="J20" i="16"/>
  <c r="B21" i="16"/>
  <c r="C21" i="16"/>
  <c r="D21" i="16"/>
  <c r="E21" i="16"/>
  <c r="F21" i="16"/>
  <c r="H21" i="16"/>
  <c r="I21" i="16"/>
  <c r="J21" i="16"/>
  <c r="B22" i="16"/>
  <c r="C22" i="16"/>
  <c r="D22" i="16"/>
  <c r="E22" i="16"/>
  <c r="F22" i="16"/>
  <c r="H22" i="16"/>
  <c r="I22" i="16"/>
  <c r="J22" i="16"/>
  <c r="B23" i="16"/>
  <c r="C23" i="16"/>
  <c r="D23" i="16"/>
  <c r="E23" i="16"/>
  <c r="F23" i="16"/>
  <c r="H23" i="16"/>
  <c r="I23" i="16"/>
  <c r="J23" i="16"/>
  <c r="B24" i="16"/>
  <c r="C24" i="16"/>
  <c r="D24" i="16"/>
  <c r="E24" i="16"/>
  <c r="F24" i="16"/>
  <c r="H24" i="16"/>
  <c r="I24" i="16"/>
  <c r="J24" i="16"/>
  <c r="A23" i="16"/>
  <c r="A24" i="16"/>
  <c r="A17" i="16"/>
  <c r="A18" i="16"/>
  <c r="A19" i="16"/>
  <c r="A20" i="16"/>
  <c r="A21" i="16"/>
  <c r="A22" i="16"/>
  <c r="A16" i="16"/>
  <c r="G12" i="16"/>
  <c r="G11" i="16"/>
  <c r="G10" i="16"/>
  <c r="G9" i="16"/>
  <c r="G8" i="16"/>
  <c r="G7" i="16"/>
  <c r="G6" i="16"/>
  <c r="G5" i="16"/>
  <c r="G4" i="16"/>
  <c r="M17" i="14"/>
  <c r="M18" i="14"/>
  <c r="M19" i="14"/>
  <c r="M20" i="14"/>
  <c r="M21" i="14"/>
  <c r="M22" i="14"/>
  <c r="M23" i="14"/>
  <c r="M24" i="14"/>
  <c r="M16" i="14"/>
  <c r="K24" i="14"/>
  <c r="K23" i="14"/>
  <c r="K22" i="14"/>
  <c r="K21" i="14"/>
  <c r="K20" i="14"/>
  <c r="K19" i="14"/>
  <c r="K18" i="14"/>
  <c r="K17" i="14"/>
  <c r="K16" i="14"/>
  <c r="J24" i="14"/>
  <c r="I24" i="14"/>
  <c r="H24" i="14"/>
  <c r="F24" i="14"/>
  <c r="E24" i="14"/>
  <c r="D24" i="14"/>
  <c r="C24" i="14"/>
  <c r="B24" i="14"/>
  <c r="A24" i="14"/>
  <c r="J23" i="14"/>
  <c r="I23" i="14"/>
  <c r="H23" i="14"/>
  <c r="F23" i="14"/>
  <c r="E23" i="14"/>
  <c r="D23" i="14"/>
  <c r="C23" i="14"/>
  <c r="B23" i="14"/>
  <c r="J22" i="14"/>
  <c r="I22" i="14"/>
  <c r="H22" i="14"/>
  <c r="F22" i="14"/>
  <c r="E22" i="14"/>
  <c r="D22" i="14"/>
  <c r="C22" i="14"/>
  <c r="B22" i="14"/>
  <c r="J21" i="14"/>
  <c r="I21" i="14"/>
  <c r="H21" i="14"/>
  <c r="F21" i="14"/>
  <c r="E21" i="14"/>
  <c r="D21" i="14"/>
  <c r="C21" i="14"/>
  <c r="B21" i="14"/>
  <c r="J20" i="14"/>
  <c r="I20" i="14"/>
  <c r="H20" i="14"/>
  <c r="F20" i="14"/>
  <c r="E20" i="14"/>
  <c r="D20" i="14"/>
  <c r="C20" i="14"/>
  <c r="B20" i="14"/>
  <c r="J19" i="14"/>
  <c r="I19" i="14"/>
  <c r="H19" i="14"/>
  <c r="F19" i="14"/>
  <c r="E19" i="14"/>
  <c r="D19" i="14"/>
  <c r="C19" i="14"/>
  <c r="B19" i="14"/>
  <c r="J18" i="14"/>
  <c r="I18" i="14"/>
  <c r="H18" i="14"/>
  <c r="F18" i="14"/>
  <c r="E18" i="14"/>
  <c r="D18" i="14"/>
  <c r="C18" i="14"/>
  <c r="B18" i="14"/>
  <c r="J17" i="14"/>
  <c r="I17" i="14"/>
  <c r="H17" i="14"/>
  <c r="F17" i="14"/>
  <c r="E17" i="14"/>
  <c r="D17" i="14"/>
  <c r="C17" i="14"/>
  <c r="B17" i="14"/>
  <c r="J16" i="14"/>
  <c r="I16" i="14"/>
  <c r="H16" i="14"/>
  <c r="F16" i="14"/>
  <c r="E16" i="14"/>
  <c r="D16" i="14"/>
  <c r="C16" i="14"/>
  <c r="B16" i="14"/>
  <c r="A23" i="14"/>
  <c r="A22" i="14"/>
  <c r="A21" i="14"/>
  <c r="A20" i="14"/>
  <c r="A19" i="14"/>
  <c r="A18" i="14"/>
  <c r="A17" i="14"/>
  <c r="A16" i="14"/>
  <c r="L19" i="12"/>
  <c r="L21" i="14" s="1"/>
  <c r="G12" i="14"/>
  <c r="G11" i="14"/>
  <c r="G10" i="14"/>
  <c r="G9" i="14"/>
  <c r="G8" i="14"/>
  <c r="G7" i="14"/>
  <c r="G6" i="14"/>
  <c r="G5" i="14"/>
  <c r="G4" i="14"/>
  <c r="G12" i="15"/>
  <c r="G11" i="15"/>
  <c r="G10" i="15"/>
  <c r="G9" i="15"/>
  <c r="G8" i="15"/>
  <c r="G7" i="15"/>
  <c r="G6" i="15"/>
  <c r="G5" i="15"/>
  <c r="G4" i="15"/>
  <c r="M17" i="15"/>
  <c r="M18" i="15"/>
  <c r="M19" i="15"/>
  <c r="M20" i="15"/>
  <c r="M21" i="15"/>
  <c r="M22" i="15"/>
  <c r="M23" i="15"/>
  <c r="M24" i="15"/>
  <c r="M16" i="15"/>
  <c r="K17" i="15"/>
  <c r="K18" i="15"/>
  <c r="K19" i="15"/>
  <c r="K20" i="15"/>
  <c r="K21" i="15"/>
  <c r="K22" i="15"/>
  <c r="K23" i="15"/>
  <c r="K24" i="15"/>
  <c r="K16" i="15"/>
  <c r="L2" i="12"/>
  <c r="J24" i="15"/>
  <c r="I24" i="15"/>
  <c r="J23" i="15"/>
  <c r="I23" i="15"/>
  <c r="J22" i="15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A24" i="15"/>
  <c r="B24" i="15"/>
  <c r="C24" i="15"/>
  <c r="D24" i="15"/>
  <c r="E24" i="15"/>
  <c r="F24" i="15"/>
  <c r="H24" i="15"/>
  <c r="A23" i="15"/>
  <c r="B23" i="15"/>
  <c r="C23" i="15"/>
  <c r="D23" i="15"/>
  <c r="E23" i="15"/>
  <c r="F23" i="15"/>
  <c r="H23" i="15"/>
  <c r="A21" i="15"/>
  <c r="B21" i="15"/>
  <c r="C21" i="15"/>
  <c r="D21" i="15"/>
  <c r="E21" i="15"/>
  <c r="F21" i="15"/>
  <c r="H21" i="15"/>
  <c r="A22" i="15"/>
  <c r="B22" i="15"/>
  <c r="C22" i="15"/>
  <c r="D22" i="15"/>
  <c r="E22" i="15"/>
  <c r="F22" i="15"/>
  <c r="H22" i="15"/>
  <c r="B16" i="15"/>
  <c r="C16" i="15"/>
  <c r="D16" i="15"/>
  <c r="E16" i="15"/>
  <c r="F16" i="15"/>
  <c r="H16" i="15"/>
  <c r="B17" i="15"/>
  <c r="C17" i="15"/>
  <c r="D17" i="15"/>
  <c r="E17" i="15"/>
  <c r="F17" i="15"/>
  <c r="H17" i="15"/>
  <c r="B18" i="15"/>
  <c r="C18" i="15"/>
  <c r="D18" i="15"/>
  <c r="E18" i="15"/>
  <c r="F18" i="15"/>
  <c r="H18" i="15"/>
  <c r="B19" i="15"/>
  <c r="C19" i="15"/>
  <c r="D19" i="15"/>
  <c r="E19" i="15"/>
  <c r="F19" i="15"/>
  <c r="H19" i="15"/>
  <c r="B20" i="15"/>
  <c r="C20" i="15"/>
  <c r="D20" i="15"/>
  <c r="E20" i="15"/>
  <c r="F20" i="15"/>
  <c r="H20" i="15"/>
  <c r="A17" i="15"/>
  <c r="A18" i="15"/>
  <c r="A19" i="15"/>
  <c r="A20" i="15"/>
  <c r="A16" i="15"/>
  <c r="L41" i="12"/>
  <c r="L18" i="17" s="1"/>
  <c r="P145" i="12"/>
  <c r="P146" i="12"/>
  <c r="P147" i="12"/>
  <c r="P148" i="12"/>
  <c r="P149" i="12"/>
  <c r="P150" i="12"/>
  <c r="P151" i="12"/>
  <c r="P152" i="12"/>
  <c r="P153" i="12"/>
  <c r="L145" i="12"/>
  <c r="L4" i="26" s="1"/>
  <c r="M145" i="12"/>
  <c r="L146" i="12"/>
  <c r="L5" i="26" s="1"/>
  <c r="M146" i="12"/>
  <c r="L147" i="12"/>
  <c r="L6" i="26" s="1"/>
  <c r="M147" i="12"/>
  <c r="L148" i="12"/>
  <c r="L7" i="26" s="1"/>
  <c r="M148" i="12"/>
  <c r="L149" i="12"/>
  <c r="L8" i="26" s="1"/>
  <c r="M149" i="12"/>
  <c r="L150" i="12"/>
  <c r="L9" i="26" s="1"/>
  <c r="M150" i="12"/>
  <c r="L151" i="12"/>
  <c r="L10" i="26" s="1"/>
  <c r="M151" i="12"/>
  <c r="L152" i="12"/>
  <c r="L11" i="26" s="1"/>
  <c r="M152" i="12"/>
  <c r="L153" i="12"/>
  <c r="L12" i="26" s="1"/>
  <c r="M153" i="12"/>
  <c r="L3" i="12"/>
  <c r="L17" i="15" s="1"/>
  <c r="P2" i="12"/>
  <c r="P3" i="12"/>
  <c r="M3" i="12"/>
  <c r="P132" i="12"/>
  <c r="P133" i="12"/>
  <c r="P134" i="12"/>
  <c r="P135" i="12"/>
  <c r="P136" i="12"/>
  <c r="P137" i="12"/>
  <c r="P138" i="12"/>
  <c r="P139" i="12"/>
  <c r="P93" i="12"/>
  <c r="P94" i="12"/>
  <c r="P95" i="12"/>
  <c r="P96" i="12"/>
  <c r="P97" i="12"/>
  <c r="P98" i="12"/>
  <c r="P99" i="12"/>
  <c r="P100" i="12"/>
  <c r="P103" i="12"/>
  <c r="P104" i="12"/>
  <c r="P105" i="12"/>
  <c r="P106" i="12"/>
  <c r="P107" i="12"/>
  <c r="P108" i="12"/>
  <c r="P109" i="12"/>
  <c r="P110" i="12"/>
  <c r="P111" i="12"/>
  <c r="P117" i="12"/>
  <c r="P118" i="12"/>
  <c r="P119" i="12"/>
  <c r="P120" i="12"/>
  <c r="P121" i="12"/>
  <c r="P122" i="12"/>
  <c r="P123" i="12"/>
  <c r="P124" i="12"/>
  <c r="P125" i="12"/>
  <c r="P79" i="12"/>
  <c r="P80" i="12"/>
  <c r="P81" i="12"/>
  <c r="P82" i="12"/>
  <c r="P83" i="12"/>
  <c r="P84" i="12"/>
  <c r="P85" i="12"/>
  <c r="P86" i="12"/>
  <c r="P67" i="12"/>
  <c r="P68" i="12"/>
  <c r="P69" i="12"/>
  <c r="P70" i="12"/>
  <c r="P71" i="12"/>
  <c r="P72" i="12"/>
  <c r="P73" i="12"/>
  <c r="P74" i="12"/>
  <c r="P4" i="12"/>
  <c r="P5" i="12"/>
  <c r="P6" i="12"/>
  <c r="P7" i="12"/>
  <c r="P8" i="12"/>
  <c r="P9" i="12"/>
  <c r="P10" i="12"/>
  <c r="P14" i="12"/>
  <c r="P15" i="12"/>
  <c r="P16" i="12"/>
  <c r="P17" i="12"/>
  <c r="P18" i="12"/>
  <c r="P19" i="12"/>
  <c r="P20" i="12"/>
  <c r="P21" i="12"/>
  <c r="P22" i="12"/>
  <c r="P25" i="12"/>
  <c r="P26" i="12"/>
  <c r="P27" i="12"/>
  <c r="P28" i="12"/>
  <c r="P29" i="12"/>
  <c r="P30" i="12"/>
  <c r="P31" i="12"/>
  <c r="P32" i="12"/>
  <c r="P33" i="12"/>
  <c r="P39" i="12"/>
  <c r="P40" i="12"/>
  <c r="P41" i="12"/>
  <c r="P42" i="12"/>
  <c r="P43" i="12"/>
  <c r="P44" i="12"/>
  <c r="P45" i="12"/>
  <c r="P46" i="12"/>
  <c r="P47" i="12"/>
  <c r="P53" i="12"/>
  <c r="P54" i="12"/>
  <c r="P55" i="12"/>
  <c r="P56" i="12"/>
  <c r="P57" i="12"/>
  <c r="P58" i="12"/>
  <c r="P59" i="12"/>
  <c r="P60" i="12"/>
  <c r="P61" i="12"/>
  <c r="P66" i="12"/>
  <c r="L8" i="12"/>
  <c r="L22" i="15" s="1"/>
  <c r="M8" i="12"/>
  <c r="L4" i="12"/>
  <c r="L5" i="12"/>
  <c r="L6" i="12"/>
  <c r="L7" i="12"/>
  <c r="L9" i="12"/>
  <c r="L10" i="12"/>
  <c r="L14" i="12"/>
  <c r="L15" i="12"/>
  <c r="L16" i="12"/>
  <c r="L17" i="12"/>
  <c r="L18" i="12"/>
  <c r="M19" i="12"/>
  <c r="L20" i="12"/>
  <c r="L21" i="12"/>
  <c r="L22" i="12"/>
  <c r="L25" i="12"/>
  <c r="L26" i="12"/>
  <c r="L27" i="12"/>
  <c r="L28" i="12"/>
  <c r="L29" i="12"/>
  <c r="L30" i="12"/>
  <c r="L31" i="12"/>
  <c r="L32" i="12"/>
  <c r="L33" i="12"/>
  <c r="L39" i="12"/>
  <c r="L40" i="12"/>
  <c r="M41" i="12"/>
  <c r="L42" i="12"/>
  <c r="L43" i="12"/>
  <c r="L44" i="12"/>
  <c r="L45" i="12"/>
  <c r="L46" i="12"/>
  <c r="L47" i="12"/>
  <c r="L53" i="12"/>
  <c r="L54" i="12"/>
  <c r="L55" i="12"/>
  <c r="L56" i="12"/>
  <c r="L57" i="12"/>
  <c r="L58" i="12"/>
  <c r="L59" i="12"/>
  <c r="L60" i="12"/>
  <c r="L61" i="12"/>
  <c r="L66" i="12"/>
  <c r="L67" i="12"/>
  <c r="L68" i="12"/>
  <c r="L69" i="12"/>
  <c r="L70" i="12"/>
  <c r="L71" i="12"/>
  <c r="L72" i="12"/>
  <c r="L73" i="12"/>
  <c r="L74" i="12"/>
  <c r="L93" i="12"/>
  <c r="L94" i="12"/>
  <c r="L95" i="12"/>
  <c r="L96" i="12"/>
  <c r="L97" i="12"/>
  <c r="L98" i="12"/>
  <c r="L99" i="12"/>
  <c r="L100" i="12"/>
  <c r="L103" i="12"/>
  <c r="L104" i="12"/>
  <c r="L105" i="12"/>
  <c r="L106" i="12"/>
  <c r="L107" i="12"/>
  <c r="L108" i="12"/>
  <c r="L109" i="12"/>
  <c r="L111" i="12"/>
  <c r="L117" i="12"/>
  <c r="L118" i="12"/>
  <c r="L119" i="12"/>
  <c r="L120" i="12"/>
  <c r="L121" i="12"/>
  <c r="L122" i="12"/>
  <c r="L123" i="12"/>
  <c r="L124" i="12"/>
  <c r="L125" i="12"/>
  <c r="L131" i="12"/>
  <c r="L15" i="24" s="1"/>
  <c r="L132" i="12"/>
  <c r="L16" i="24" s="1"/>
  <c r="L133" i="12"/>
  <c r="L17" i="24" s="1"/>
  <c r="L134" i="12"/>
  <c r="L18" i="24" s="1"/>
  <c r="L135" i="12"/>
  <c r="L19" i="24" s="1"/>
  <c r="L136" i="12"/>
  <c r="L20" i="24" s="1"/>
  <c r="L137" i="12"/>
  <c r="L21" i="24" s="1"/>
  <c r="L138" i="12"/>
  <c r="L22" i="24" s="1"/>
  <c r="L139" i="12"/>
  <c r="L23" i="24" s="1"/>
  <c r="P131" i="12"/>
  <c r="P92" i="12"/>
  <c r="P78" i="12"/>
  <c r="L79" i="12"/>
  <c r="L80" i="12"/>
  <c r="L81" i="12"/>
  <c r="L82" i="12"/>
  <c r="L83" i="12"/>
  <c r="L84" i="12"/>
  <c r="L85" i="12"/>
  <c r="L86" i="12"/>
  <c r="L92" i="12"/>
  <c r="L78" i="12"/>
  <c r="G139" i="12"/>
  <c r="G23" i="24" s="1"/>
  <c r="G138" i="12"/>
  <c r="G22" i="24" s="1"/>
  <c r="G125" i="12"/>
  <c r="G23" i="23" s="1"/>
  <c r="G3" i="12"/>
  <c r="G17" i="15" s="1"/>
  <c r="G4" i="12"/>
  <c r="G18" i="15" s="1"/>
  <c r="G5" i="12"/>
  <c r="G19" i="15" s="1"/>
  <c r="G6" i="12"/>
  <c r="G20" i="15" s="1"/>
  <c r="G7" i="12"/>
  <c r="G21" i="15" s="1"/>
  <c r="G8" i="12"/>
  <c r="G22" i="15" s="1"/>
  <c r="G9" i="12"/>
  <c r="G23" i="15" s="1"/>
  <c r="G10" i="12"/>
  <c r="G24" i="15" s="1"/>
  <c r="G14" i="12"/>
  <c r="G16" i="14" s="1"/>
  <c r="G15" i="12"/>
  <c r="G17" i="14" s="1"/>
  <c r="G16" i="12"/>
  <c r="G18" i="14" s="1"/>
  <c r="G17" i="12"/>
  <c r="G19" i="14" s="1"/>
  <c r="G18" i="12"/>
  <c r="G20" i="14" s="1"/>
  <c r="G19" i="12"/>
  <c r="G21" i="14" s="1"/>
  <c r="G20" i="12"/>
  <c r="G22" i="14" s="1"/>
  <c r="G21" i="12"/>
  <c r="G23" i="14" s="1"/>
  <c r="G25" i="12"/>
  <c r="G16" i="16" s="1"/>
  <c r="G26" i="12"/>
  <c r="G17" i="16" s="1"/>
  <c r="G27" i="12"/>
  <c r="G18" i="16" s="1"/>
  <c r="G28" i="12"/>
  <c r="G19" i="16" s="1"/>
  <c r="G29" i="12"/>
  <c r="G20" i="16" s="1"/>
  <c r="G30" i="12"/>
  <c r="G21" i="16" s="1"/>
  <c r="G31" i="12"/>
  <c r="G22" i="16" s="1"/>
  <c r="G32" i="12"/>
  <c r="G23" i="16" s="1"/>
  <c r="G33" i="12"/>
  <c r="G24" i="16" s="1"/>
  <c r="G39" i="12"/>
  <c r="G16" i="17" s="1"/>
  <c r="G22" i="12"/>
  <c r="G24" i="14" s="1"/>
  <c r="G40" i="12"/>
  <c r="G17" i="17" s="1"/>
  <c r="G41" i="12"/>
  <c r="G18" i="17" s="1"/>
  <c r="G42" i="12"/>
  <c r="G19" i="17" s="1"/>
  <c r="G43" i="12"/>
  <c r="G20" i="17" s="1"/>
  <c r="G44" i="12"/>
  <c r="G21" i="17" s="1"/>
  <c r="G45" i="12"/>
  <c r="G22" i="17" s="1"/>
  <c r="G46" i="12"/>
  <c r="G23" i="17" s="1"/>
  <c r="G47" i="12"/>
  <c r="G24" i="17" s="1"/>
  <c r="G53" i="12"/>
  <c r="G16" i="18" s="1"/>
  <c r="G54" i="12"/>
  <c r="G17" i="18" s="1"/>
  <c r="G55" i="12"/>
  <c r="G18" i="18" s="1"/>
  <c r="G56" i="12"/>
  <c r="G19" i="18" s="1"/>
  <c r="G57" i="12"/>
  <c r="G20" i="18" s="1"/>
  <c r="G58" i="12"/>
  <c r="G21" i="18" s="1"/>
  <c r="G59" i="12"/>
  <c r="G22" i="18" s="1"/>
  <c r="G60" i="12"/>
  <c r="G23" i="18" s="1"/>
  <c r="G61" i="12"/>
  <c r="G24" i="18" s="1"/>
  <c r="G66" i="12"/>
  <c r="G16" i="19" s="1"/>
  <c r="G67" i="12"/>
  <c r="G17" i="19" s="1"/>
  <c r="G68" i="12"/>
  <c r="G18" i="19" s="1"/>
  <c r="G69" i="12"/>
  <c r="G19" i="19" s="1"/>
  <c r="G70" i="12"/>
  <c r="G20" i="19" s="1"/>
  <c r="G71" i="12"/>
  <c r="G21" i="19" s="1"/>
  <c r="G72" i="12"/>
  <c r="G22" i="19" s="1"/>
  <c r="G73" i="12"/>
  <c r="G23" i="19" s="1"/>
  <c r="G74" i="12"/>
  <c r="G24" i="19" s="1"/>
  <c r="G78" i="12"/>
  <c r="G16" i="20" s="1"/>
  <c r="G79" i="12"/>
  <c r="G17" i="20" s="1"/>
  <c r="G80" i="12"/>
  <c r="G18" i="20" s="1"/>
  <c r="G81" i="12"/>
  <c r="G19" i="20" s="1"/>
  <c r="G82" i="12"/>
  <c r="G20" i="20" s="1"/>
  <c r="G83" i="12"/>
  <c r="G21" i="20" s="1"/>
  <c r="G84" i="12"/>
  <c r="G22" i="20" s="1"/>
  <c r="G85" i="12"/>
  <c r="G23" i="20" s="1"/>
  <c r="G24" i="20"/>
  <c r="G92" i="12"/>
  <c r="G16" i="21" s="1"/>
  <c r="G93" i="12"/>
  <c r="G17" i="21" s="1"/>
  <c r="G94" i="12"/>
  <c r="G18" i="21" s="1"/>
  <c r="G95" i="12"/>
  <c r="G19" i="21" s="1"/>
  <c r="G96" i="12"/>
  <c r="G20" i="21" s="1"/>
  <c r="G97" i="12"/>
  <c r="G21" i="21" s="1"/>
  <c r="G98" i="12"/>
  <c r="G22" i="21" s="1"/>
  <c r="G99" i="12"/>
  <c r="G23" i="21" s="1"/>
  <c r="G100" i="12"/>
  <c r="G24" i="21" s="1"/>
  <c r="G103" i="12"/>
  <c r="G16" i="22" s="1"/>
  <c r="G104" i="12"/>
  <c r="G17" i="22" s="1"/>
  <c r="G105" i="12"/>
  <c r="G18" i="22" s="1"/>
  <c r="G106" i="12"/>
  <c r="G19" i="22" s="1"/>
  <c r="G107" i="12"/>
  <c r="G20" i="22" s="1"/>
  <c r="G108" i="12"/>
  <c r="G21" i="22" s="1"/>
  <c r="G109" i="12"/>
  <c r="G22" i="22" s="1"/>
  <c r="G110" i="12"/>
  <c r="G23" i="22" s="1"/>
  <c r="G111" i="12"/>
  <c r="G24" i="22" s="1"/>
  <c r="G117" i="12"/>
  <c r="G15" i="23" s="1"/>
  <c r="G118" i="12"/>
  <c r="G16" i="23" s="1"/>
  <c r="G119" i="12"/>
  <c r="G17" i="23" s="1"/>
  <c r="G120" i="12"/>
  <c r="G18" i="23" s="1"/>
  <c r="G121" i="12"/>
  <c r="G19" i="23" s="1"/>
  <c r="G122" i="12"/>
  <c r="G20" i="23" s="1"/>
  <c r="G123" i="12"/>
  <c r="G21" i="23" s="1"/>
  <c r="G124" i="12"/>
  <c r="G22" i="23" s="1"/>
  <c r="G131" i="12"/>
  <c r="G15" i="24" s="1"/>
  <c r="G132" i="12"/>
  <c r="G16" i="24" s="1"/>
  <c r="G133" i="12"/>
  <c r="G17" i="24" s="1"/>
  <c r="G134" i="12"/>
  <c r="G18" i="24" s="1"/>
  <c r="G135" i="12"/>
  <c r="G19" i="24" s="1"/>
  <c r="G136" i="12"/>
  <c r="G20" i="24" s="1"/>
  <c r="G137" i="12"/>
  <c r="G21" i="24" s="1"/>
  <c r="G2" i="12"/>
  <c r="G16" i="15" s="1"/>
  <c r="M63" i="12" l="1"/>
  <c r="L26" i="18"/>
  <c r="M78" i="12"/>
  <c r="L16" i="20"/>
  <c r="M92" i="12"/>
  <c r="L16" i="21"/>
  <c r="M86" i="12"/>
  <c r="L24" i="20"/>
  <c r="M85" i="12"/>
  <c r="L23" i="20"/>
  <c r="M84" i="12"/>
  <c r="L22" i="20"/>
  <c r="M82" i="12"/>
  <c r="L20" i="20"/>
  <c r="M81" i="12"/>
  <c r="L19" i="20"/>
  <c r="M80" i="12"/>
  <c r="L18" i="20"/>
  <c r="M79" i="12"/>
  <c r="L17" i="20"/>
  <c r="M139" i="12"/>
  <c r="M138" i="12"/>
  <c r="M137" i="12"/>
  <c r="M135" i="12"/>
  <c r="M134" i="12"/>
  <c r="M133" i="12"/>
  <c r="M132" i="12"/>
  <c r="M131" i="12"/>
  <c r="M125" i="12"/>
  <c r="L23" i="23"/>
  <c r="M124" i="12"/>
  <c r="L22" i="23"/>
  <c r="M121" i="12"/>
  <c r="L19" i="23"/>
  <c r="M120" i="12"/>
  <c r="L18" i="23"/>
  <c r="M119" i="12"/>
  <c r="L17" i="23"/>
  <c r="M118" i="12"/>
  <c r="L16" i="23"/>
  <c r="M117" i="12"/>
  <c r="L15" i="23"/>
  <c r="M111" i="12"/>
  <c r="L24" i="22"/>
  <c r="M110" i="12"/>
  <c r="L23" i="22"/>
  <c r="M107" i="12"/>
  <c r="L20" i="22"/>
  <c r="M106" i="12"/>
  <c r="L19" i="22"/>
  <c r="M105" i="12"/>
  <c r="L18" i="22"/>
  <c r="M104" i="12"/>
  <c r="L17" i="22"/>
  <c r="M103" i="12"/>
  <c r="L16" i="22"/>
  <c r="M100" i="12"/>
  <c r="L24" i="21"/>
  <c r="M99" i="12"/>
  <c r="L23" i="21"/>
  <c r="M98" i="12"/>
  <c r="L22" i="21"/>
  <c r="M96" i="12"/>
  <c r="L20" i="21"/>
  <c r="M95" i="12"/>
  <c r="L19" i="21"/>
  <c r="M94" i="12"/>
  <c r="L18" i="21"/>
  <c r="M93" i="12"/>
  <c r="L17" i="21"/>
  <c r="M74" i="12"/>
  <c r="L24" i="19"/>
  <c r="M73" i="12"/>
  <c r="L23" i="19"/>
  <c r="M72" i="12"/>
  <c r="L22" i="19"/>
  <c r="M69" i="12"/>
  <c r="L19" i="19"/>
  <c r="M68" i="12"/>
  <c r="L18" i="19"/>
  <c r="M67" i="12"/>
  <c r="L17" i="19"/>
  <c r="M66" i="12"/>
  <c r="L16" i="19"/>
  <c r="M61" i="12"/>
  <c r="L24" i="18"/>
  <c r="M60" i="12"/>
  <c r="L23" i="18"/>
  <c r="M59" i="12"/>
  <c r="L22" i="18"/>
  <c r="M56" i="12"/>
  <c r="L19" i="18"/>
  <c r="M55" i="12"/>
  <c r="L18" i="18"/>
  <c r="M54" i="12"/>
  <c r="L17" i="18"/>
  <c r="M53" i="12"/>
  <c r="L16" i="18"/>
  <c r="M47" i="12"/>
  <c r="L24" i="17"/>
  <c r="M46" i="12"/>
  <c r="L23" i="17"/>
  <c r="M45" i="12"/>
  <c r="L22" i="17"/>
  <c r="M42" i="12"/>
  <c r="L19" i="17"/>
  <c r="M40" i="12"/>
  <c r="L17" i="17"/>
  <c r="M39" i="12"/>
  <c r="L16" i="17"/>
  <c r="M33" i="12"/>
  <c r="L24" i="16"/>
  <c r="M32" i="12"/>
  <c r="L23" i="16"/>
  <c r="M31" i="12"/>
  <c r="L22" i="16"/>
  <c r="M28" i="12"/>
  <c r="L19" i="16"/>
  <c r="M27" i="12"/>
  <c r="L18" i="16"/>
  <c r="M26" i="12"/>
  <c r="L17" i="16"/>
  <c r="M25" i="12"/>
  <c r="L16" i="16"/>
  <c r="M22" i="12"/>
  <c r="L24" i="14"/>
  <c r="M21" i="12"/>
  <c r="L23" i="14"/>
  <c r="M20" i="12"/>
  <c r="L22" i="14"/>
  <c r="M17" i="12"/>
  <c r="L19" i="14"/>
  <c r="M16" i="12"/>
  <c r="L18" i="14"/>
  <c r="M15" i="12"/>
  <c r="L17" i="14"/>
  <c r="M14" i="12"/>
  <c r="L16" i="14"/>
  <c r="M10" i="12"/>
  <c r="L24" i="15"/>
  <c r="M9" i="12"/>
  <c r="L23" i="15"/>
  <c r="M6" i="12"/>
  <c r="L20" i="15"/>
  <c r="M5" i="12"/>
  <c r="L19" i="15"/>
  <c r="M4" i="12"/>
  <c r="L18" i="15"/>
  <c r="L16" i="15"/>
  <c r="M2" i="12"/>
  <c r="M109" i="12"/>
  <c r="L22" i="22"/>
  <c r="M123" i="12"/>
  <c r="L21" i="23"/>
  <c r="M58" i="12"/>
  <c r="L21" i="18"/>
  <c r="M71" i="12"/>
  <c r="L21" i="19"/>
  <c r="M44" i="12"/>
  <c r="L21" i="17"/>
  <c r="M30" i="12"/>
  <c r="L21" i="16"/>
  <c r="M136" i="12"/>
  <c r="M83" i="12"/>
  <c r="L21" i="20"/>
  <c r="M97" i="12"/>
  <c r="L21" i="21"/>
  <c r="M57" i="12"/>
  <c r="L20" i="18"/>
  <c r="M7" i="12"/>
  <c r="L21" i="15"/>
  <c r="M70" i="12"/>
  <c r="L20" i="19"/>
  <c r="M18" i="12"/>
  <c r="L20" i="14"/>
  <c r="M108" i="12"/>
  <c r="L21" i="22"/>
  <c r="M122" i="12"/>
  <c r="L20" i="23"/>
  <c r="M29" i="12"/>
  <c r="L20" i="16"/>
  <c r="M43" i="12"/>
  <c r="L2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tc={38CDCEF0-A614-42DF-99E9-85ECEFC26627}</author>
  </authors>
  <commentList>
    <comment ref="W28" authorId="0" shapeId="0" xr:uid="{38CDCEF0-A614-42DF-99E9-85ECEFC26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Será relevante esta tabla? contiene cosechas de fundos que esta temporada no han sido muestreados</t>
      </text>
    </comment>
  </commentList>
</comments>
</file>

<file path=xl/sharedStrings.xml><?xml version="1.0" encoding="utf-8"?>
<sst xmlns="http://schemas.openxmlformats.org/spreadsheetml/2006/main" count="1554" uniqueCount="356">
  <si>
    <t>Id. original muestra</t>
  </si>
  <si>
    <t>Variedad</t>
  </si>
  <si>
    <t>Valles</t>
  </si>
  <si>
    <t>Fundo</t>
  </si>
  <si>
    <t>Cuartel</t>
  </si>
  <si>
    <t>Hilera</t>
  </si>
  <si>
    <t>N° muestra</t>
  </si>
  <si>
    <t>Fecha</t>
  </si>
  <si>
    <t>pH</t>
  </si>
  <si>
    <t>Brix</t>
  </si>
  <si>
    <t>NaOH</t>
  </si>
  <si>
    <t>Acidez Sulfúrica</t>
  </si>
  <si>
    <t>Acidez Tartárica</t>
  </si>
  <si>
    <t>Peso muestra</t>
  </si>
  <si>
    <t>N° bayas</t>
  </si>
  <si>
    <t>Peso baya</t>
  </si>
  <si>
    <t>CH26IDAC1-H135-1</t>
  </si>
  <si>
    <t>Chardonnay</t>
  </si>
  <si>
    <t>Colchagua</t>
  </si>
  <si>
    <t>IDAHUE</t>
  </si>
  <si>
    <t>CH26IDAC1-H135-2</t>
  </si>
  <si>
    <t xml:space="preserve">Fundo </t>
  </si>
  <si>
    <t xml:space="preserve">Variedad </t>
  </si>
  <si>
    <t xml:space="preserve">Fecha cosecha </t>
  </si>
  <si>
    <t>CH26IDAC1-H135-3</t>
  </si>
  <si>
    <t xml:space="preserve">Lourdes </t>
  </si>
  <si>
    <t>CH</t>
  </si>
  <si>
    <t>CH26IDAC1-H135-4</t>
  </si>
  <si>
    <t xml:space="preserve">Ucuquer </t>
  </si>
  <si>
    <t>CH26IDAC1-H135-5</t>
  </si>
  <si>
    <t>SB</t>
  </si>
  <si>
    <t>CH26IDAC1-H135-6</t>
  </si>
  <si>
    <t>Yungay</t>
  </si>
  <si>
    <t>CH26IDAC1-H135-7</t>
  </si>
  <si>
    <t>Rauco</t>
  </si>
  <si>
    <t>CH26IDAC1-H135-8</t>
  </si>
  <si>
    <t xml:space="preserve">Santa Isabel </t>
  </si>
  <si>
    <t>CH26IDAC1-H135-9</t>
  </si>
  <si>
    <t>CH26IDAC1-H135-10</t>
  </si>
  <si>
    <t xml:space="preserve">Mariposa </t>
  </si>
  <si>
    <t>CH26IDAC1-H135-11</t>
  </si>
  <si>
    <t>26-03-2026</t>
  </si>
  <si>
    <t xml:space="preserve">Quebrada </t>
  </si>
  <si>
    <t>CH26IDAC1-H135-12</t>
  </si>
  <si>
    <t>SB26IDAC9-H300-1</t>
  </si>
  <si>
    <t>Sauvignon Blanc</t>
  </si>
  <si>
    <t xml:space="preserve">  </t>
  </si>
  <si>
    <t xml:space="preserve">Idahue </t>
  </si>
  <si>
    <t>SB26IDAC9-H300-2</t>
  </si>
  <si>
    <t>SB26IDAC9-H300-3</t>
  </si>
  <si>
    <t xml:space="preserve">Nilahue </t>
  </si>
  <si>
    <t>CS</t>
  </si>
  <si>
    <t>SB26IDAC9-H300-4</t>
  </si>
  <si>
    <t xml:space="preserve">Peumo </t>
  </si>
  <si>
    <t>CA</t>
  </si>
  <si>
    <t>28/04/2026</t>
  </si>
  <si>
    <t>SB26IDAC9-H300-5</t>
  </si>
  <si>
    <t xml:space="preserve">Keule </t>
  </si>
  <si>
    <t>14/03/2026</t>
  </si>
  <si>
    <t>SB26IDAC9-H300-6</t>
  </si>
  <si>
    <t xml:space="preserve">Villa Alegre </t>
  </si>
  <si>
    <t>SB26IDAC9-H300-7</t>
  </si>
  <si>
    <t>SB26IDAC9-H300-8</t>
  </si>
  <si>
    <t>SB26IDAC9-H300-9</t>
  </si>
  <si>
    <t xml:space="preserve">Quinta de Maipo </t>
  </si>
  <si>
    <t>SB26IDAC9-H300-10</t>
  </si>
  <si>
    <t xml:space="preserve">San Adolfo </t>
  </si>
  <si>
    <t>SB26IDAC9-H300-11</t>
  </si>
  <si>
    <t xml:space="preserve">Palo Santo </t>
  </si>
  <si>
    <t>CH26UCUC92-H110-1</t>
  </si>
  <si>
    <t>UCUQUER</t>
  </si>
  <si>
    <t xml:space="preserve">Quebrada de agua </t>
  </si>
  <si>
    <t>CH26UCUC92-H110-2</t>
  </si>
  <si>
    <t xml:space="preserve">Rucahue </t>
  </si>
  <si>
    <t>21/04/2026</t>
  </si>
  <si>
    <t>CH26UCUC92-H110-3</t>
  </si>
  <si>
    <t>CH26UCUC92-H110-4</t>
  </si>
  <si>
    <t>CH26UCUC92-H110-5</t>
  </si>
  <si>
    <t>CH26UCUC92-H110-6</t>
  </si>
  <si>
    <t>CH26UCUC92-H110-7</t>
  </si>
  <si>
    <t xml:space="preserve">Cosecha comercial blancos </t>
  </si>
  <si>
    <t>CH26UCUC92-H110-8</t>
  </si>
  <si>
    <t>CH26UCUC92-H110-9</t>
  </si>
  <si>
    <t>CH26UCUC92-H110-10</t>
  </si>
  <si>
    <t>-</t>
  </si>
  <si>
    <t>Idahue</t>
  </si>
  <si>
    <t>CH26UCUC92-H110-11</t>
  </si>
  <si>
    <t>CH26UCUC92-H110-12</t>
  </si>
  <si>
    <t>CH26UCUC92-H110-13</t>
  </si>
  <si>
    <t>*muestras congeladas</t>
  </si>
  <si>
    <t>CH26UCUC92-H110-14</t>
  </si>
  <si>
    <t>SB26UCUC54-H85-1</t>
  </si>
  <si>
    <t>SB26UCUC54-H85-2</t>
  </si>
  <si>
    <t>San Ignacio</t>
  </si>
  <si>
    <t>SB26UCUC54-H85-3</t>
  </si>
  <si>
    <t xml:space="preserve">Yungay </t>
  </si>
  <si>
    <t>SB26UCUC54-H85-4</t>
  </si>
  <si>
    <t xml:space="preserve">CH </t>
  </si>
  <si>
    <t>SB26UCUC54-H85-5</t>
  </si>
  <si>
    <t xml:space="preserve">Rauco </t>
  </si>
  <si>
    <t>SB26UCUC54-H85-6</t>
  </si>
  <si>
    <t>SB26UCUC54-H85-7</t>
  </si>
  <si>
    <t>SB26UCUC54-H85-8</t>
  </si>
  <si>
    <t>SB26UCUC54-H85-9</t>
  </si>
  <si>
    <t>SB26UCUC54-H85-10</t>
  </si>
  <si>
    <t>SB26UCUC54-H85-11</t>
  </si>
  <si>
    <t>SB26UCUC54-H85-12</t>
  </si>
  <si>
    <t>SB26UCUC54-H85-13</t>
  </si>
  <si>
    <t>SB26UCUC54-H85-14</t>
  </si>
  <si>
    <t>SB26YUNC4-H180-1</t>
  </si>
  <si>
    <t>Curicó</t>
  </si>
  <si>
    <t>YUNGAY</t>
  </si>
  <si>
    <t>SB26YUNC4-H180-2</t>
  </si>
  <si>
    <t>SB26YUNC4-H180-3</t>
  </si>
  <si>
    <t>SB26YUNC4-H180-4</t>
  </si>
  <si>
    <t>SB26YUNC4-H180-5</t>
  </si>
  <si>
    <t>SB26YUNC4-H180-6</t>
  </si>
  <si>
    <t>SB26YUNC4-H180-7</t>
  </si>
  <si>
    <t>SB26YUNC4-H180-8</t>
  </si>
  <si>
    <t>SB26YUNC4-H180-9</t>
  </si>
  <si>
    <t>SB26YUNC4-H180-10</t>
  </si>
  <si>
    <t>SB26YUNC4-H180-11</t>
  </si>
  <si>
    <t>SB26YUNC4-H180-12</t>
  </si>
  <si>
    <t>SB26YUNC4-H180-13</t>
  </si>
  <si>
    <t>SB26RAUC7-H9-1</t>
  </si>
  <si>
    <t>RAUCO</t>
  </si>
  <si>
    <t>SB26RAUC7-H9-2</t>
  </si>
  <si>
    <t>SB26RAUC7-H9-3</t>
  </si>
  <si>
    <t>SB26RAUC7-H9-4</t>
  </si>
  <si>
    <t>SB26RAUC7-H9-5</t>
  </si>
  <si>
    <t>SB26RAUC7-H9-6</t>
  </si>
  <si>
    <t>SB26RAUC7-H9-7</t>
  </si>
  <si>
    <t>SB26RAUC7-H9-8</t>
  </si>
  <si>
    <t>SB26RAUC7-H9-9</t>
  </si>
  <si>
    <t>SB26RAUC7-H9-10</t>
  </si>
  <si>
    <t>SB26RAUC7-H9-11</t>
  </si>
  <si>
    <t>SB26RAUC7-H9-12</t>
  </si>
  <si>
    <t>SB26ISAC27-SH-1</t>
  </si>
  <si>
    <t>Maipo</t>
  </si>
  <si>
    <t>SANTA ISABEL</t>
  </si>
  <si>
    <t>SH</t>
  </si>
  <si>
    <t>SB26ISAC27-SH-2</t>
  </si>
  <si>
    <t>SB26ISAC27-SH-3</t>
  </si>
  <si>
    <t>SB26ISAC27-SH-4</t>
  </si>
  <si>
    <t>SB26ISAC27-SH-5</t>
  </si>
  <si>
    <t>SB26ISAC27-SH-6</t>
  </si>
  <si>
    <t>SB26ISAC27-SH-7</t>
  </si>
  <si>
    <t>SB26ISAC27-SH-8</t>
  </si>
  <si>
    <t>SB26ISAC27-SH-9</t>
  </si>
  <si>
    <t>SB26ISAC27-SH-10</t>
  </si>
  <si>
    <t>SB26ISAC27-SH-11</t>
  </si>
  <si>
    <t>SB26ISAC27-SH-12</t>
  </si>
  <si>
    <t>SB26ISAC27-SH-13</t>
  </si>
  <si>
    <t>SB26ISAC27-SH-14</t>
  </si>
  <si>
    <t>CH26LOUC79-H156-1</t>
  </si>
  <si>
    <t>Maule</t>
  </si>
  <si>
    <t>LOURDES</t>
  </si>
  <si>
    <t>CH26LOUC79-H156-2</t>
  </si>
  <si>
    <t>CH26LOUC79-H156-3</t>
  </si>
  <si>
    <t>CH26LOUC79-H156-4</t>
  </si>
  <si>
    <t>CH26LOUC79-H156-5</t>
  </si>
  <si>
    <t>CH26LOUC79-H156-6</t>
  </si>
  <si>
    <t>CH26LOUC79-H156-7</t>
  </si>
  <si>
    <t>CH26LOUC79-H156-8</t>
  </si>
  <si>
    <t>CH26LOUC79-H156-9</t>
  </si>
  <si>
    <t>CH26LOUC79-H156-10</t>
  </si>
  <si>
    <t>CH26LOUC79-H156-11</t>
  </si>
  <si>
    <t>SB26MARC7-H112-1</t>
  </si>
  <si>
    <t>MARIPOSAS</t>
  </si>
  <si>
    <t>SB26MARC7-H112-2</t>
  </si>
  <si>
    <t>SB26MARC7-H112-3</t>
  </si>
  <si>
    <t>SB26MARC7-H112-4</t>
  </si>
  <si>
    <t>SB26MARC7-H112-5</t>
  </si>
  <si>
    <t>SB26MARC7-H112-6</t>
  </si>
  <si>
    <t>SB26MARC7-H112-7</t>
  </si>
  <si>
    <t>SB26MARC7-H112-8</t>
  </si>
  <si>
    <t>SB26MARC7-H112-9</t>
  </si>
  <si>
    <t>SB26MARC7-H112-10</t>
  </si>
  <si>
    <t>SB26MARC7-H112-11</t>
  </si>
  <si>
    <t>SB26MARC7-H112-12</t>
  </si>
  <si>
    <t>SB26MARC7-H112-13</t>
  </si>
  <si>
    <t>SB26MARC7-H112-14</t>
  </si>
  <si>
    <t>CH26QAGC45-H15-1</t>
  </si>
  <si>
    <t>QUEBRADA DE AGUA</t>
  </si>
  <si>
    <t>CH26QAGC45-H15-2</t>
  </si>
  <si>
    <t>CH26QAGC45-H15-3</t>
  </si>
  <si>
    <t>CH26QAGC45-H15-4</t>
  </si>
  <si>
    <t>CH26QAGC45-H15-5</t>
  </si>
  <si>
    <t>CH26QAGC45-H15-6</t>
  </si>
  <si>
    <t>CH26QAGC45-H15-7</t>
  </si>
  <si>
    <t>CH26QAGC45-H15-8</t>
  </si>
  <si>
    <t>CH26QAGC45-H15-9</t>
  </si>
  <si>
    <t>CH26QAGC45-H15-10</t>
  </si>
  <si>
    <t>CH26QAGC45-H15-11</t>
  </si>
  <si>
    <t>CH26QAGC45-H15-12</t>
  </si>
  <si>
    <t>CH26QAGC45-H15-13</t>
  </si>
  <si>
    <t>CH26QAGC45-H15-14</t>
  </si>
  <si>
    <t>CH26ISAC25-H1-1</t>
  </si>
  <si>
    <t>CH26ISAC25-H1-2</t>
  </si>
  <si>
    <t>CH26ISAC25-H1-3</t>
  </si>
  <si>
    <t>CH26ISAC25-H1-4</t>
  </si>
  <si>
    <t>CH26ISAC25-H1-5</t>
  </si>
  <si>
    <t>CH26ISAC25-H1-6</t>
  </si>
  <si>
    <t>CH26ISAC25-H1-7</t>
  </si>
  <si>
    <t>CH26ISAC25-H1-8</t>
  </si>
  <si>
    <t>CH26ISAC25-H1-9</t>
  </si>
  <si>
    <t>CH26ISAC25-H1-10</t>
  </si>
  <si>
    <t>CH26ISAC25-H1-11</t>
  </si>
  <si>
    <t>CH26ISAC25-H1-12</t>
  </si>
  <si>
    <t>CH26ISAC25-H1-13</t>
  </si>
  <si>
    <t>CH26ISAC25-H1-14</t>
  </si>
  <si>
    <t>CH26SIGC12-H210-1</t>
  </si>
  <si>
    <t>SAN IGNACIO</t>
  </si>
  <si>
    <t>1</t>
  </si>
  <si>
    <t>CH26SIGC12-H210-2</t>
  </si>
  <si>
    <t>2</t>
  </si>
  <si>
    <t>CH26SIGC12-H210-3</t>
  </si>
  <si>
    <t>3</t>
  </si>
  <si>
    <t>CH26SIGC12-H210-4</t>
  </si>
  <si>
    <t>4</t>
  </si>
  <si>
    <t>CH26SIGC12-H210-5</t>
  </si>
  <si>
    <t>5</t>
  </si>
  <si>
    <t>CH26SIGC12-H210-6</t>
  </si>
  <si>
    <t>6</t>
  </si>
  <si>
    <t>CH26SIGC12-H210-7</t>
  </si>
  <si>
    <t>7</t>
  </si>
  <si>
    <t>CH26SIGC12-H210-8</t>
  </si>
  <si>
    <t>8</t>
  </si>
  <si>
    <t>CH26SIGC12-H210-9</t>
  </si>
  <si>
    <t>9</t>
  </si>
  <si>
    <t>CH26SIGC12-H210-10</t>
  </si>
  <si>
    <t>CH26SIGC12-H210-11</t>
  </si>
  <si>
    <t>11</t>
  </si>
  <si>
    <t>CH26SIGC12-H210-12</t>
  </si>
  <si>
    <t>12</t>
  </si>
  <si>
    <t xml:space="preserve"> </t>
  </si>
  <si>
    <t>N°muestra</t>
  </si>
  <si>
    <t>CH25IDAC1-H135-1</t>
  </si>
  <si>
    <t>CH25IDAC1-H135-2</t>
  </si>
  <si>
    <t>CH25IDAC1-H135-3</t>
  </si>
  <si>
    <t>CH25IDAC1-H135-4</t>
  </si>
  <si>
    <t>CH25IDAC1-H135-5</t>
  </si>
  <si>
    <t>CH25IDAC1-H135-6</t>
  </si>
  <si>
    <t>CH25IDAC1-H135-7</t>
  </si>
  <si>
    <t>CH25IDAC1-H135-8</t>
  </si>
  <si>
    <t>CH25IDAC1-H135-9</t>
  </si>
  <si>
    <t>SB25IDAC9-H300-1</t>
  </si>
  <si>
    <t>SB25IDAC9-H300-2</t>
  </si>
  <si>
    <t>SB25IDAC9-H300-3</t>
  </si>
  <si>
    <t>SB25IDAC9-H300-4</t>
  </si>
  <si>
    <t>SB25IDAC9-H300-5</t>
  </si>
  <si>
    <t>SB25IDAC9-H300-6</t>
  </si>
  <si>
    <t>SB25IDAC9-H300-7</t>
  </si>
  <si>
    <t>SB25IDAC9-H300-8</t>
  </si>
  <si>
    <t>SB25IDAC9-H300-9</t>
  </si>
  <si>
    <t>CH25UCUC92-H110-1</t>
  </si>
  <si>
    <t>CH25UCUC92-H110-2</t>
  </si>
  <si>
    <t>CH25UCUC92-H110-3</t>
  </si>
  <si>
    <t>CH25UCUC92-H110-4</t>
  </si>
  <si>
    <t>CH25UCUC92-H110-5</t>
  </si>
  <si>
    <t>CH25UCUC92-H110-6</t>
  </si>
  <si>
    <t>CH25UCUC92-H110-7</t>
  </si>
  <si>
    <t>CH25UCUC92-H110-8</t>
  </si>
  <si>
    <t>CH25UCUC92-H110-9</t>
  </si>
  <si>
    <t>SB25UCUC54-H85-1</t>
  </si>
  <si>
    <t>SB25UCUC54-H85-2</t>
  </si>
  <si>
    <t>SB25UCUC54-H85-3</t>
  </si>
  <si>
    <t>SB25UCUC54-H85-4</t>
  </si>
  <si>
    <t>SB25UCUC54-H85-5</t>
  </si>
  <si>
    <t>SB25UCUC54-H85-6</t>
  </si>
  <si>
    <t>SB25UCUC54-H85-7</t>
  </si>
  <si>
    <t>SB25UCUC54-H85-8</t>
  </si>
  <si>
    <t>SB25UCUC54-H85-9</t>
  </si>
  <si>
    <t>SB25YUNC4-H180-1</t>
  </si>
  <si>
    <t>SB25YUNC4-H180-2</t>
  </si>
  <si>
    <t>SB25YUNC4-H180-3</t>
  </si>
  <si>
    <t>SB25YUNC4-H180-4</t>
  </si>
  <si>
    <t>SB25YUNC4-H180-5</t>
  </si>
  <si>
    <t>SB25YUNC4-H180-6</t>
  </si>
  <si>
    <t>SB25YUNC4-H180-7</t>
  </si>
  <si>
    <t>SB25YUNC4-H180-8</t>
  </si>
  <si>
    <t>SB25YUNC4-H180-9</t>
  </si>
  <si>
    <t>SB25RAUC7-H9-1</t>
  </si>
  <si>
    <t>SB25RAUC7-H9-2</t>
  </si>
  <si>
    <t>SB25RAUC7-H9-3</t>
  </si>
  <si>
    <t>SB25RAUC7-H9-4</t>
  </si>
  <si>
    <t>SB25RAUC7-H9-5</t>
  </si>
  <si>
    <t>SB25RAUC7-H9-6</t>
  </si>
  <si>
    <t>SB25RAUC7-H9-7</t>
  </si>
  <si>
    <t>SB25RAUC7-H9-8</t>
  </si>
  <si>
    <t>SB25RAUC7-H9-9</t>
  </si>
  <si>
    <t>SB25ISAC27-SH-1</t>
  </si>
  <si>
    <t>SB25ISAC27-SH-2</t>
  </si>
  <si>
    <t>SB25ISAC27-SH-3</t>
  </si>
  <si>
    <t>SB25ISAC27-SH-4</t>
  </si>
  <si>
    <t>SB25ISAC27-SH-5</t>
  </si>
  <si>
    <t>SB25ISAC27-SH-6</t>
  </si>
  <si>
    <t>SB25ISAC27-SH-7</t>
  </si>
  <si>
    <t>05/03/2025</t>
  </si>
  <si>
    <t>SB25ISAC27-SH-8</t>
  </si>
  <si>
    <t>SB25ISAC27-SH-9</t>
  </si>
  <si>
    <t>CH25LOUC79-H156-1</t>
  </si>
  <si>
    <t>CH25LOUC79-H156-2</t>
  </si>
  <si>
    <t>CH25LOUC79-H156-3</t>
  </si>
  <si>
    <t>CH25LOUC79-H156-4</t>
  </si>
  <si>
    <t>CH25LOUC79-H156-5</t>
  </si>
  <si>
    <t>CH25LOUC79-H156-6</t>
  </si>
  <si>
    <t>CH25LOUC79-H156-7</t>
  </si>
  <si>
    <t>CH25LOUC79-H156-8</t>
  </si>
  <si>
    <t>CH25LOUC79-H156-9</t>
  </si>
  <si>
    <t>SB25MARC7-H112-1</t>
  </si>
  <si>
    <t>SB25MARC7-H112-2</t>
  </si>
  <si>
    <t>SB25MARC7-H112-3</t>
  </si>
  <si>
    <t>SB25MARC7-H112-4</t>
  </si>
  <si>
    <t>SB25MARC7-H112-5</t>
  </si>
  <si>
    <t>SB25MARC7-H112-6</t>
  </si>
  <si>
    <t>SB25MARC7-H112-7</t>
  </si>
  <si>
    <t>SB25MARC7-H112-8</t>
  </si>
  <si>
    <t>SB25MARC7-H112-9</t>
  </si>
  <si>
    <t>CH25QAGC45-H15-1</t>
  </si>
  <si>
    <t>CH25QAGC45-H15-2</t>
  </si>
  <si>
    <t>CH25QAGC45-H15-3</t>
  </si>
  <si>
    <t>CH25QAGC45-H15-4</t>
  </si>
  <si>
    <t>CH25QAGC45-H15-5</t>
  </si>
  <si>
    <t>CH25QAGC45-H15-6</t>
  </si>
  <si>
    <t>CH25QAGC45-H15-7</t>
  </si>
  <si>
    <t>CH25QAGC45-H15-8</t>
  </si>
  <si>
    <t>CH25ISAC25-H1-1</t>
  </si>
  <si>
    <t>CH25ISAC25-H1-2</t>
  </si>
  <si>
    <t>CH25ISAC25-H1-3</t>
  </si>
  <si>
    <t>1.56</t>
  </si>
  <si>
    <t>CH25ISAC25-H1-4</t>
  </si>
  <si>
    <t>CH25ISAC25-H1-5</t>
  </si>
  <si>
    <t>CH25ISAC25-H1-6</t>
  </si>
  <si>
    <t>CH25ISAC25-H1-7</t>
  </si>
  <si>
    <t>CH25ISAC25-H1-8</t>
  </si>
  <si>
    <t>CH25ACAC71-A-SH-1</t>
  </si>
  <si>
    <t>Límari</t>
  </si>
  <si>
    <t>LOS ACACIOS</t>
  </si>
  <si>
    <t>71-A</t>
  </si>
  <si>
    <t>CH25ACAC71-A-SH-2</t>
  </si>
  <si>
    <t>CH25ACAC71-A-SH-3</t>
  </si>
  <si>
    <t>CH25ACAC71-A-SH-4</t>
  </si>
  <si>
    <t>CH25ACAC71-A-SH-5</t>
  </si>
  <si>
    <t>CH25ACAC71-A-SH-6</t>
  </si>
  <si>
    <t>CH25QSEC11-A-SH-1</t>
  </si>
  <si>
    <t>QUEBRADA SECA</t>
  </si>
  <si>
    <t>11-A</t>
  </si>
  <si>
    <t>CH25QSEC11-A-SH-2</t>
  </si>
  <si>
    <t>CH25QSEC11-A-SH-3</t>
  </si>
  <si>
    <t>CH25QSEC11-A-SH-4</t>
  </si>
  <si>
    <t>CH25QSEC11-A-SH-5</t>
  </si>
  <si>
    <t>CH25QSEC11-A-SH-6</t>
  </si>
  <si>
    <t>CH25QSEC11-A-SH-7</t>
  </si>
  <si>
    <t>CH25QSEC11-A-SH-8</t>
  </si>
  <si>
    <t>CH25QSEC11-A-SH-9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</si>
</sst>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\-mm\-yyyy;@"/>
    <numFmt numFmtId="166" formatCode="dd\-mm\-yy;@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  <font>
      <b/>
      <sz val="11"/>
      <name val="Aptos Narrow"/>
      <scheme val="minor"/>
    </font>
    <font>
      <b/>
      <sz val="11"/>
      <color theme="1"/>
      <name val="Aptos Narrow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/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10" xfId="0" applyNumberFormat="1" applyBorder="1"/>
    <xf numFmtId="0" fontId="0" fillId="0" borderId="11" xfId="0" applyBorder="1"/>
    <xf numFmtId="0" fontId="2" fillId="2" borderId="1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0" fillId="0" borderId="14" xfId="0" applyBorder="1"/>
    <xf numFmtId="0" fontId="0" fillId="0" borderId="2" xfId="0" applyBorder="1"/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0" xfId="0" applyNumberFormat="1"/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4" fontId="0" fillId="0" borderId="0" xfId="0" applyNumberFormat="1"/>
    <xf numFmtId="0" fontId="0" fillId="0" borderId="18" xfId="0" applyBorder="1"/>
    <xf numFmtId="0" fontId="0" fillId="0" borderId="9" xfId="0" applyBorder="1"/>
    <xf numFmtId="0" fontId="3" fillId="0" borderId="1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17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/>
    </xf>
    <xf numFmtId="165" fontId="5" fillId="2" borderId="3" xfId="0" applyNumberFormat="1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2" borderId="19" xfId="0" applyFont="1" applyFill="1" applyBorder="1" applyAlignment="1">
      <alignment horizontal="center" vertical="top"/>
    </xf>
    <xf numFmtId="0" fontId="1" fillId="2" borderId="5" xfId="0" applyFont="1" applyFill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2" borderId="21" xfId="0" applyFont="1" applyFill="1" applyBorder="1" applyAlignment="1">
      <alignment horizontal="center" vertical="top"/>
    </xf>
    <xf numFmtId="0" fontId="6" fillId="2" borderId="22" xfId="0" applyFont="1" applyFill="1" applyBorder="1" applyAlignment="1">
      <alignment horizontal="center" vertical="top"/>
    </xf>
    <xf numFmtId="0" fontId="1" fillId="2" borderId="23" xfId="0" applyFont="1" applyFill="1" applyBorder="1" applyAlignment="1">
      <alignment horizontal="center"/>
    </xf>
    <xf numFmtId="0" fontId="1" fillId="2" borderId="23" xfId="0" applyFont="1" applyFill="1" applyBorder="1"/>
    <xf numFmtId="165" fontId="1" fillId="2" borderId="2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5" fontId="5" fillId="2" borderId="5" xfId="0" applyNumberFormat="1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165" fontId="9" fillId="3" borderId="14" xfId="0" applyNumberFormat="1" applyFont="1" applyFill="1" applyBorder="1"/>
    <xf numFmtId="0" fontId="9" fillId="0" borderId="2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165" fontId="9" fillId="3" borderId="2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28" xfId="0" applyBorder="1"/>
    <xf numFmtId="0" fontId="0" fillId="0" borderId="13" xfId="0" applyBorder="1"/>
    <xf numFmtId="14" fontId="0" fillId="0" borderId="28" xfId="0" applyNumberFormat="1" applyBorder="1"/>
    <xf numFmtId="0" fontId="9" fillId="3" borderId="0" xfId="0" applyFont="1" applyFill="1" applyAlignment="1">
      <alignment horizontal="center"/>
    </xf>
    <xf numFmtId="165" fontId="9" fillId="3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 vertical="center"/>
    </xf>
    <xf numFmtId="166" fontId="0" fillId="0" borderId="28" xfId="0" applyNumberFormat="1" applyBorder="1" applyAlignment="1">
      <alignment horizontal="right"/>
    </xf>
    <xf numFmtId="0" fontId="0" fillId="5" borderId="28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Variables 2026</a:t>
            </a:r>
          </a:p>
        </c:rich>
      </c:tx>
      <c:layout>
        <c:manualLayout>
          <c:xMode val="edge"/>
          <c:yMode val="edge"/>
          <c:x val="0.2920375890513685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'CH-Idahue'!$H$16:$H$24</c:f>
              <c:numCache>
                <c:formatCode>dd\-mm\-yyyy;@</c:formatCode>
                <c:ptCount val="9"/>
                <c:pt idx="0">
                  <c:v>46035</c:v>
                </c:pt>
                <c:pt idx="1">
                  <c:v>46044</c:v>
                </c:pt>
                <c:pt idx="2">
                  <c:v>46050</c:v>
                </c:pt>
                <c:pt idx="3">
                  <c:v>46057</c:v>
                </c:pt>
                <c:pt idx="4">
                  <c:v>46064</c:v>
                </c:pt>
                <c:pt idx="5">
                  <c:v>46071</c:v>
                </c:pt>
                <c:pt idx="6">
                  <c:v>46078</c:v>
                </c:pt>
                <c:pt idx="7">
                  <c:v>46085</c:v>
                </c:pt>
                <c:pt idx="8">
                  <c:v>46092</c:v>
                </c:pt>
              </c:numCache>
            </c:numRef>
          </c:cat>
          <c:val>
            <c:numRef>
              <c:f>'CH-Idahue'!$I$16:$I$24</c:f>
              <c:numCache>
                <c:formatCode>General</c:formatCode>
                <c:ptCount val="9"/>
                <c:pt idx="0">
                  <c:v>2.81</c:v>
                </c:pt>
                <c:pt idx="1">
                  <c:v>2.85</c:v>
                </c:pt>
                <c:pt idx="2">
                  <c:v>2.97</c:v>
                </c:pt>
                <c:pt idx="3">
                  <c:v>3.01</c:v>
                </c:pt>
                <c:pt idx="4">
                  <c:v>3.12</c:v>
                </c:pt>
                <c:pt idx="5">
                  <c:v>3.18</c:v>
                </c:pt>
                <c:pt idx="6">
                  <c:v>3.2</c:v>
                </c:pt>
                <c:pt idx="7">
                  <c:v>3.2</c:v>
                </c:pt>
                <c:pt idx="8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69-40E1-BBFC-C2163B5E6D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'CH-Idahue'!$H$16:$H$24</c:f>
              <c:numCache>
                <c:formatCode>dd\-mm\-yyyy;@</c:formatCode>
                <c:ptCount val="9"/>
                <c:pt idx="0">
                  <c:v>46035</c:v>
                </c:pt>
                <c:pt idx="1">
                  <c:v>46044</c:v>
                </c:pt>
                <c:pt idx="2">
                  <c:v>46050</c:v>
                </c:pt>
                <c:pt idx="3">
                  <c:v>46057</c:v>
                </c:pt>
                <c:pt idx="4">
                  <c:v>46064</c:v>
                </c:pt>
                <c:pt idx="5">
                  <c:v>46071</c:v>
                </c:pt>
                <c:pt idx="6">
                  <c:v>46078</c:v>
                </c:pt>
                <c:pt idx="7">
                  <c:v>46085</c:v>
                </c:pt>
                <c:pt idx="8">
                  <c:v>46092</c:v>
                </c:pt>
              </c:numCache>
            </c:numRef>
          </c:cat>
          <c:val>
            <c:numRef>
              <c:f>'CH-Idahue'!$J$16:$J$24</c:f>
              <c:numCache>
                <c:formatCode>General</c:formatCode>
                <c:ptCount val="9"/>
                <c:pt idx="0">
                  <c:v>9.6999999999999993</c:v>
                </c:pt>
                <c:pt idx="1">
                  <c:v>12.6</c:v>
                </c:pt>
                <c:pt idx="2">
                  <c:v>14.6</c:v>
                </c:pt>
                <c:pt idx="3">
                  <c:v>16</c:v>
                </c:pt>
                <c:pt idx="4">
                  <c:v>18</c:v>
                </c:pt>
                <c:pt idx="5">
                  <c:v>19.5</c:v>
                </c:pt>
                <c:pt idx="6">
                  <c:v>21.3</c:v>
                </c:pt>
                <c:pt idx="7">
                  <c:v>21.7</c:v>
                </c:pt>
                <c:pt idx="8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B69-40E1-BBFC-C2163B5E6DD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'CH-Idahue'!$H$16:$H$24</c:f>
              <c:numCache>
                <c:formatCode>dd\-mm\-yyyy;@</c:formatCode>
                <c:ptCount val="9"/>
                <c:pt idx="0">
                  <c:v>46035</c:v>
                </c:pt>
                <c:pt idx="1">
                  <c:v>46044</c:v>
                </c:pt>
                <c:pt idx="2">
                  <c:v>46050</c:v>
                </c:pt>
                <c:pt idx="3">
                  <c:v>46057</c:v>
                </c:pt>
                <c:pt idx="4">
                  <c:v>46064</c:v>
                </c:pt>
                <c:pt idx="5">
                  <c:v>46071</c:v>
                </c:pt>
                <c:pt idx="6">
                  <c:v>46078</c:v>
                </c:pt>
                <c:pt idx="7">
                  <c:v>46085</c:v>
                </c:pt>
                <c:pt idx="8">
                  <c:v>46092</c:v>
                </c:pt>
              </c:numCache>
            </c:numRef>
          </c:cat>
          <c:val>
            <c:numRef>
              <c:f>'CH-Idahue'!$K$16:$K$24</c:f>
              <c:numCache>
                <c:formatCode>General</c:formatCode>
                <c:ptCount val="9"/>
                <c:pt idx="0">
                  <c:v>18.296600000000002</c:v>
                </c:pt>
                <c:pt idx="1">
                  <c:v>6.7766999999999999</c:v>
                </c:pt>
                <c:pt idx="2">
                  <c:v>9.3295999999999992</c:v>
                </c:pt>
                <c:pt idx="3">
                  <c:v>7.9281999999999995</c:v>
                </c:pt>
                <c:pt idx="4">
                  <c:v>6.879599999999999</c:v>
                </c:pt>
                <c:pt idx="5">
                  <c:v>6.2720000000000002</c:v>
                </c:pt>
                <c:pt idx="6">
                  <c:v>5.0568</c:v>
                </c:pt>
                <c:pt idx="7">
                  <c:v>5.0126999999999997</c:v>
                </c:pt>
                <c:pt idx="8">
                  <c:v>4.6647999999999996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B69-40E1-BBFC-C2163B5E6DD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'CH-Idahue'!$H$16:$H$24</c:f>
              <c:numCache>
                <c:formatCode>dd\-mm\-yyyy;@</c:formatCode>
                <c:ptCount val="9"/>
                <c:pt idx="0">
                  <c:v>46035</c:v>
                </c:pt>
                <c:pt idx="1">
                  <c:v>46044</c:v>
                </c:pt>
                <c:pt idx="2">
                  <c:v>46050</c:v>
                </c:pt>
                <c:pt idx="3">
                  <c:v>46057</c:v>
                </c:pt>
                <c:pt idx="4">
                  <c:v>46064</c:v>
                </c:pt>
                <c:pt idx="5">
                  <c:v>46071</c:v>
                </c:pt>
                <c:pt idx="6">
                  <c:v>46078</c:v>
                </c:pt>
                <c:pt idx="7">
                  <c:v>46085</c:v>
                </c:pt>
                <c:pt idx="8">
                  <c:v>46092</c:v>
                </c:pt>
              </c:numCache>
            </c:numRef>
          </c:cat>
          <c:val>
            <c:numRef>
              <c:f>'CH-Idahue'!$L$16:$L$24</c:f>
              <c:numCache>
                <c:formatCode>General</c:formatCode>
                <c:ptCount val="9"/>
                <c:pt idx="0">
                  <c:v>27.993798000000002</c:v>
                </c:pt>
                <c:pt idx="1">
                  <c:v>10.368351000000001</c:v>
                </c:pt>
                <c:pt idx="2">
                  <c:v>14.274287999999999</c:v>
                </c:pt>
                <c:pt idx="3">
                  <c:v>12.130146</c:v>
                </c:pt>
                <c:pt idx="4">
                  <c:v>10.525787999999999</c:v>
                </c:pt>
                <c:pt idx="5">
                  <c:v>9.5961600000000011</c:v>
                </c:pt>
                <c:pt idx="6">
                  <c:v>7.736904</c:v>
                </c:pt>
                <c:pt idx="7">
                  <c:v>7.6694309999999994</c:v>
                </c:pt>
                <c:pt idx="8">
                  <c:v>7.1371439999999993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69-40E1-BBFC-C2163B5E6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638344"/>
        <c:axId val="1794640392"/>
      </c:lineChart>
      <c:dateAx>
        <c:axId val="1794638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\-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40392"/>
        <c:crosses val="autoZero"/>
        <c:auto val="1"/>
        <c:lblOffset val="100"/>
        <c:baseTimeUnit val="days"/>
      </c:dateAx>
      <c:valAx>
        <c:axId val="1794640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38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'Peso baya'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'CH-Idahue'!$M$3</c:f>
              <c:strCache>
                <c:ptCount val="1"/>
                <c:pt idx="0">
                  <c:v>Peso baya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'CH-Idahue'!$H$4:$H$12</c:f>
              <c:numCache>
                <c:formatCode>dd\-mm\-yyyy;@</c:formatCode>
                <c:ptCount val="9"/>
                <c:pt idx="0">
                  <c:v>45678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</c:numCache>
            </c:numRef>
          </c:cat>
          <c:val>
            <c:numRef>
              <c:f>'CH-Idahue'!$M$4:$M$12</c:f>
              <c:numCache>
                <c:formatCode>General</c:formatCode>
                <c:ptCount val="9"/>
                <c:pt idx="0">
                  <c:v>1.07</c:v>
                </c:pt>
                <c:pt idx="1">
                  <c:v>1.24</c:v>
                </c:pt>
                <c:pt idx="2">
                  <c:v>1.4</c:v>
                </c:pt>
                <c:pt idx="3">
                  <c:v>1.51</c:v>
                </c:pt>
                <c:pt idx="4">
                  <c:v>1.45</c:v>
                </c:pt>
                <c:pt idx="5">
                  <c:v>1.5</c:v>
                </c:pt>
                <c:pt idx="6">
                  <c:v>1.6</c:v>
                </c:pt>
                <c:pt idx="7">
                  <c:v>1.39</c:v>
                </c:pt>
                <c:pt idx="8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7640C733-1B52-4C61-AF8B-B50D099F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141448"/>
        <c:axId val="1798143496"/>
      </c:lineChart>
      <c:dateAx>
        <c:axId val="1798141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\-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3496"/>
        <c:crosses val="autoZero"/>
        <c:auto val="1"/>
        <c:lblOffset val="100"/>
        <c:baseTimeUnit val="days"/>
      </c:dateAx>
      <c:valAx>
        <c:axId val="179814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Peso baya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Multiple values by 'Fecha'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'CH-Idahue'!$I$3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'CH-Idahue'!$H$4:$H$12</c:f>
              <c:numCache>
                <c:formatCode>dd\-mm\-yyyy;@</c:formatCode>
                <c:ptCount val="9"/>
                <c:pt idx="0">
                  <c:v>45678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</c:numCache>
            </c:numRef>
          </c:cat>
          <c:val>
            <c:numRef>
              <c:f>'CH-Idahue'!$I$4:$I$12</c:f>
              <c:numCache>
                <c:formatCode>General</c:formatCode>
                <c:ptCount val="9"/>
                <c:pt idx="0">
                  <c:v>2.8</c:v>
                </c:pt>
                <c:pt idx="1">
                  <c:v>2.74</c:v>
                </c:pt>
                <c:pt idx="2">
                  <c:v>2.86</c:v>
                </c:pt>
                <c:pt idx="3">
                  <c:v>2.99</c:v>
                </c:pt>
                <c:pt idx="4">
                  <c:v>3.08</c:v>
                </c:pt>
                <c:pt idx="5">
                  <c:v>3.2</c:v>
                </c:pt>
                <c:pt idx="6">
                  <c:v>3.34</c:v>
                </c:pt>
                <c:pt idx="7">
                  <c:v>3.31</c:v>
                </c:pt>
                <c:pt idx="8">
                  <c:v>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589A446F-3017-4721-BD5D-F2E5B9C816E9}"/>
            </c:ext>
          </c:extLst>
        </c:ser>
        <c:ser>
          <c:idx val="1"/>
          <c:order val="1"/>
          <c:tx>
            <c:strRef>
              <c:f>'CH-Idahue'!$J$3</c:f>
              <c:strCache>
                <c:ptCount val="1"/>
                <c:pt idx="0">
                  <c:v>Brix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'CH-Idahue'!$H$4:$H$12</c:f>
              <c:numCache>
                <c:formatCode>dd\-mm\-yyyy;@</c:formatCode>
                <c:ptCount val="9"/>
                <c:pt idx="0">
                  <c:v>45678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</c:numCache>
            </c:numRef>
          </c:cat>
          <c:val>
            <c:numRef>
              <c:f>'CH-Idahue'!$J$4:$J$12</c:f>
              <c:numCache>
                <c:formatCode>General</c:formatCode>
                <c:ptCount val="9"/>
                <c:pt idx="0">
                  <c:v>10.1</c:v>
                </c:pt>
                <c:pt idx="1">
                  <c:v>11.7</c:v>
                </c:pt>
                <c:pt idx="2">
                  <c:v>15.1</c:v>
                </c:pt>
                <c:pt idx="3">
                  <c:v>17.3</c:v>
                </c:pt>
                <c:pt idx="4">
                  <c:v>19.399999999999999</c:v>
                </c:pt>
                <c:pt idx="5">
                  <c:v>21</c:v>
                </c:pt>
                <c:pt idx="6">
                  <c:v>22.5</c:v>
                </c:pt>
                <c:pt idx="7">
                  <c:v>21.6</c:v>
                </c:pt>
                <c:pt idx="8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AA717B43-065D-4F12-8F13-8B110224D350}"/>
            </c:ext>
          </c:extLst>
        </c:ser>
        <c:ser>
          <c:idx val="2"/>
          <c:order val="2"/>
          <c:tx>
            <c:strRef>
              <c:f>'CH-Idahue'!$K$3</c:f>
              <c:strCache>
                <c:ptCount val="1"/>
                <c:pt idx="0">
                  <c:v>Acidez Sulfúrica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'CH-Idahue'!$H$4:$H$12</c:f>
              <c:numCache>
                <c:formatCode>dd\-mm\-yyyy;@</c:formatCode>
                <c:ptCount val="9"/>
                <c:pt idx="0">
                  <c:v>45678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</c:numCache>
            </c:numRef>
          </c:cat>
          <c:val>
            <c:numRef>
              <c:f>'CH-Idahue'!$K$4:$K$12</c:f>
              <c:numCache>
                <c:formatCode>General</c:formatCode>
                <c:ptCount val="9"/>
                <c:pt idx="0">
                  <c:v>22.128399999999999</c:v>
                </c:pt>
                <c:pt idx="1">
                  <c:v>14.7392</c:v>
                </c:pt>
                <c:pt idx="2">
                  <c:v>10.584</c:v>
                </c:pt>
                <c:pt idx="3">
                  <c:v>8.5358000000000001</c:v>
                </c:pt>
                <c:pt idx="4">
                  <c:v>7.1638000000000002</c:v>
                </c:pt>
                <c:pt idx="5">
                  <c:v>6.1936</c:v>
                </c:pt>
                <c:pt idx="6">
                  <c:v>5.8701999999999996</c:v>
                </c:pt>
                <c:pt idx="7">
                  <c:v>4.9882</c:v>
                </c:pt>
                <c:pt idx="8">
                  <c:v>4.5815000000000001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20890AD-DA8C-4B32-85C3-911902E0FEB4}"/>
            </c:ext>
          </c:extLst>
        </c:ser>
        <c:ser>
          <c:idx val="3"/>
          <c:order val="3"/>
          <c:tx>
            <c:strRef>
              <c:f>'CH-Idahue'!$L$3</c:f>
              <c:strCache>
                <c:ptCount val="1"/>
                <c:pt idx="0">
                  <c:v>Acidez Tartárica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'CH-Idahue'!$H$4:$H$12</c:f>
              <c:numCache>
                <c:formatCode>dd\-mm\-yyyy;@</c:formatCode>
                <c:ptCount val="9"/>
                <c:pt idx="0">
                  <c:v>45678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</c:numCache>
            </c:numRef>
          </c:cat>
          <c:val>
            <c:numRef>
              <c:f>'CH-Idahue'!$L$4:$L$12</c:f>
              <c:numCache>
                <c:formatCode>#,##0.000</c:formatCode>
                <c:ptCount val="9"/>
                <c:pt idx="0" formatCode="General">
                  <c:v>33.856499999999997</c:v>
                </c:pt>
                <c:pt idx="1">
                  <c:v>22.550999999999998</c:v>
                </c:pt>
                <c:pt idx="2" formatCode="General">
                  <c:v>16.1935</c:v>
                </c:pt>
                <c:pt idx="3" formatCode="General">
                  <c:v>13.059799999999999</c:v>
                </c:pt>
                <c:pt idx="4" formatCode="General">
                  <c:v>10.960599999999999</c:v>
                </c:pt>
                <c:pt idx="5" formatCode="General">
                  <c:v>8.4762000000000004</c:v>
                </c:pt>
                <c:pt idx="6" formatCode="General">
                  <c:v>8.9814000000000007</c:v>
                </c:pt>
                <c:pt idx="7" formatCode="General">
                  <c:v>7.6318999999999999</c:v>
                </c:pt>
                <c:pt idx="8" formatCode="General">
                  <c:v>7.0096999999999996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C2815B31-33E1-4788-97C1-B998B7948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4695176"/>
        <c:axId val="1794697736"/>
      </c:lineChart>
      <c:dateAx>
        <c:axId val="1794695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\-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97736"/>
        <c:crosses val="autoZero"/>
        <c:auto val="1"/>
        <c:lblOffset val="100"/>
        <c:baseTimeUnit val="days"/>
      </c:dateAx>
      <c:valAx>
        <c:axId val="179469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9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'Peso baya'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'CH-Idahue'!$H$16:$H$22</c:f>
              <c:numCache>
                <c:formatCode>dd\-mm\-yyyy;@</c:formatCode>
                <c:ptCount val="7"/>
                <c:pt idx="0">
                  <c:v>46035</c:v>
                </c:pt>
                <c:pt idx="1">
                  <c:v>46044</c:v>
                </c:pt>
                <c:pt idx="2">
                  <c:v>46050</c:v>
                </c:pt>
                <c:pt idx="3">
                  <c:v>46057</c:v>
                </c:pt>
                <c:pt idx="4">
                  <c:v>46064</c:v>
                </c:pt>
                <c:pt idx="5">
                  <c:v>46071</c:v>
                </c:pt>
                <c:pt idx="6">
                  <c:v>46078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38-4A22-967C-05C8A2A2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8141448"/>
        <c:axId val="1798143496"/>
      </c:lineChart>
      <c:catAx>
        <c:axId val="1798141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\-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3496"/>
        <c:crosses val="autoZero"/>
        <c:auto val="1"/>
        <c:lblAlgn val="ctr"/>
        <c:lblOffset val="100"/>
        <c:noMultiLvlLbl val="1"/>
      </c:catAx>
      <c:valAx>
        <c:axId val="179814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Peso baya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d\-mm\-yyyy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141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266700</xdr:colOff>
      <xdr:row>16</xdr:row>
      <xdr:rowOff>123825</xdr:rowOff>
    </xdr:from>
    <xdr:to>
      <xdr:col>21</xdr:col>
      <xdr:colOff>571500</xdr:colOff>
      <xdr:row>31</xdr:row>
      <xdr:rowOff>9525</xdr:rowOff>
    </xdr:to>
    <xdr:graphicFrame macro="">
      <xdr:nvGraphicFramePr>
        <xdr:cNvPr id="5" name="Chart 4" descr="Chart type: Line. Multiple values by 'Fecha'&#10;&#10;Description automatically generated">
          <a:extLst>
            <a:ext uri="{FF2B5EF4-FFF2-40B4-BE49-F238E27FC236}">
              <a16:creationId xmlns:a16="http://schemas.microsoft.com/office/drawing/2014/main" id="{6BFD79B7-2B64-4F03-86D8-E40B5FAA30DF}"/>
            </a:ext>
            <a:ext uri="{147F2762-F138-4A5C-976F-8EAC2B608ADB}">
              <a16:predDERef xmlns:a16="http://schemas.microsoft.com/office/drawing/2014/main" pred="{DB5C72E3-4464-1A3B-314E-952AE7630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466725</xdr:colOff>
      <xdr:row>1</xdr:row>
      <xdr:rowOff>95250</xdr:rowOff>
    </xdr:from>
    <xdr:to>
      <xdr:col>29</xdr:col>
      <xdr:colOff>161925</xdr:colOff>
      <xdr:row>15</xdr:row>
      <xdr:rowOff>171450</xdr:rowOff>
    </xdr:to>
    <xdr:graphicFrame macro="">
      <xdr:nvGraphicFramePr>
        <xdr:cNvPr id="6" name="Chart 5" descr="Chart type: Line. 'Peso baya'&#10;&#10;Description automatically generated">
          <a:extLst>
            <a:ext uri="{FF2B5EF4-FFF2-40B4-BE49-F238E27FC236}">
              <a16:creationId xmlns:a16="http://schemas.microsoft.com/office/drawing/2014/main" id="{BCF4104E-1BC8-7E73-8B06-7E7A19D7D923}"/>
            </a:ext>
            <a:ext uri="{147F2762-F138-4A5C-976F-8EAC2B608ADB}">
              <a16:predDERef xmlns:a16="http://schemas.microsoft.com/office/drawing/2014/main" pred="{6BFD79B7-2B64-4F03-86D8-E40B5FAA3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200025</xdr:colOff>
      <xdr:row>0</xdr:row>
      <xdr:rowOff>28575</xdr:rowOff>
    </xdr:from>
    <xdr:to>
      <xdr:col>21</xdr:col>
      <xdr:colOff>504825</xdr:colOff>
      <xdr:row>14</xdr:row>
      <xdr:rowOff>104775</xdr:rowOff>
    </xdr:to>
    <xdr:graphicFrame macro="">
      <xdr:nvGraphicFramePr>
        <xdr:cNvPr id="7" name="Chart 6" descr="Chart type: Line. Multiple values by 'Fecha'&#10;&#10;Description automatically generated">
          <a:extLst>
            <a:ext uri="{FF2B5EF4-FFF2-40B4-BE49-F238E27FC236}">
              <a16:creationId xmlns:a16="http://schemas.microsoft.com/office/drawing/2014/main" id="{57835379-6086-CABA-3D90-D9305640D298}"/>
            </a:ext>
            <a:ext uri="{147F2762-F138-4A5C-976F-8EAC2B608ADB}">
              <a16:predDERef xmlns:a16="http://schemas.microsoft.com/office/drawing/2014/main" pred="{BCF4104E-1BC8-7E73-8B06-7E7A19D7D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66675</xdr:colOff>
      <xdr:row>16</xdr:row>
      <xdr:rowOff>142875</xdr:rowOff>
    </xdr:from>
    <xdr:to>
      <xdr:col>29</xdr:col>
      <xdr:colOff>371475</xdr:colOff>
      <xdr:row>31</xdr:row>
      <xdr:rowOff>28575</xdr:rowOff>
    </xdr:to>
    <xdr:graphicFrame macro="">
      <xdr:nvGraphicFramePr>
        <xdr:cNvPr id="8" name="Chart 7" descr="Chart type: Line. 'Peso baya'&#10;&#10;Description automatically generated">
          <a:extLst>
            <a:ext uri="{FF2B5EF4-FFF2-40B4-BE49-F238E27FC236}">
              <a16:creationId xmlns:a16="http://schemas.microsoft.com/office/drawing/2014/main" id="{0E4144EC-70B8-44E5-8776-568FF53462C1}"/>
            </a:ext>
            <a:ext uri="{147F2762-F138-4A5C-976F-8EAC2B608ADB}">
              <a16:predDERef xmlns:a16="http://schemas.microsoft.com/office/drawing/2014/main" pred="{57835379-6086-CABA-3D90-D9305640D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EGO NUÑEZ SIMMS" id="{2592829D-0C41-4514-A092-BCD17D24C7F1}" userId="S::diego.nunezs@conchaytoro.cl::1af71f18-a7e6-460d-abfa-a83be0841d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28" dT="2026-05-14T15:46:18.50" personId="{2592829D-0C41-4514-A092-BCD17D24C7F1}" id="{38CDCEF0-A614-42DF-99E9-85ECEFC26627}">
    <text>Será relevante esta tabla? contiene cosechas de fundos que esta temporada no han sido muestreados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3E76-0ADC-4BA6-93F6-F8702DAB5A14}">
  <sheetPr filterMode="1"/>
  <dimension ref="A1:W203"/>
  <sheetViews>
    <sheetView tabSelected="1" topLeftCell="K1" workbookViewId="0">
      <pane ySplit="1" topLeftCell="N33" activePane="bottomLeft" state="frozen"/>
      <selection pane="bottomLeft" activeCell="W40" sqref="W40"/>
    </sheetView>
  </sheetViews>
  <sheetFormatPr defaultColWidth="8.7109375" defaultRowHeight="15" customHeight="1"/>
  <cols>
    <col min="1" max="3" width="20.28515625" style="2" customWidth="1"/>
    <col min="4" max="4" width="19" customWidth="1"/>
    <col min="5" max="6" width="9.140625" customWidth="1"/>
    <col min="7" max="7" width="4.85546875" style="2" customWidth="1"/>
    <col min="8" max="8" width="11.140625" style="26" bestFit="1" customWidth="1"/>
    <col min="9" max="9" width="9.140625" customWidth="1"/>
    <col min="11" max="11" width="8.7109375" customWidth="1"/>
    <col min="12" max="12" width="17.42578125" bestFit="1" customWidth="1"/>
    <col min="13" max="13" width="17.140625" bestFit="1" customWidth="1"/>
    <col min="14" max="14" width="10.85546875" customWidth="1"/>
    <col min="15" max="15" width="7.5703125" customWidth="1"/>
    <col min="16" max="16" width="9.85546875" bestFit="1" customWidth="1"/>
    <col min="19" max="19" width="5.42578125" customWidth="1"/>
    <col min="20" max="20" width="20.28515625" customWidth="1"/>
    <col min="21" max="21" width="11.7109375" customWidth="1"/>
    <col min="23" max="23" width="14.7109375" customWidth="1"/>
  </cols>
  <sheetData>
    <row r="1" spans="1:23" ht="14.45">
      <c r="A1" s="39" t="s">
        <v>0</v>
      </c>
      <c r="B1" s="40" t="s">
        <v>1</v>
      </c>
      <c r="C1" s="40" t="s">
        <v>2</v>
      </c>
      <c r="D1" s="41" t="s">
        <v>3</v>
      </c>
      <c r="E1" s="41" t="s">
        <v>4</v>
      </c>
      <c r="F1" s="41" t="s">
        <v>5</v>
      </c>
      <c r="G1" s="43" t="s">
        <v>6</v>
      </c>
      <c r="H1" s="42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</row>
    <row r="2" spans="1:23" ht="14.45">
      <c r="A2" s="108" t="s">
        <v>16</v>
      </c>
      <c r="B2" s="109" t="s">
        <v>17</v>
      </c>
      <c r="C2" s="109" t="s">
        <v>18</v>
      </c>
      <c r="D2" s="110" t="s">
        <v>19</v>
      </c>
      <c r="E2" s="110">
        <v>1</v>
      </c>
      <c r="F2" s="110">
        <v>135</v>
      </c>
      <c r="G2" s="111" t="str">
        <f t="shared" ref="G2:G22" si="0">_xlfn.TEXTAFTER(A2, "-", 2)</f>
        <v>1</v>
      </c>
      <c r="H2" s="112">
        <v>46035</v>
      </c>
      <c r="I2" s="130">
        <v>2.81</v>
      </c>
      <c r="J2" s="130">
        <v>9.6999999999999993</v>
      </c>
      <c r="K2" s="113">
        <v>37.340000000000003</v>
      </c>
      <c r="L2" s="114">
        <f>K2*0.49</f>
        <v>18.296600000000002</v>
      </c>
      <c r="M2" s="115">
        <f>L2*1.53</f>
        <v>27.993798000000002</v>
      </c>
      <c r="N2" s="116">
        <v>192.45</v>
      </c>
      <c r="O2" s="117">
        <v>200</v>
      </c>
      <c r="P2" s="115">
        <f t="shared" ref="P2:P65" si="1">N2/O2</f>
        <v>0.96224999999999994</v>
      </c>
    </row>
    <row r="3" spans="1:23" ht="14.45">
      <c r="A3" s="108" t="s">
        <v>20</v>
      </c>
      <c r="B3" s="109" t="s">
        <v>17</v>
      </c>
      <c r="C3" s="109" t="s">
        <v>18</v>
      </c>
      <c r="D3" s="110" t="s">
        <v>19</v>
      </c>
      <c r="E3" s="110">
        <v>1</v>
      </c>
      <c r="F3" s="110">
        <v>135</v>
      </c>
      <c r="G3" s="110" t="str">
        <f t="shared" si="0"/>
        <v>2</v>
      </c>
      <c r="H3" s="118">
        <v>46044</v>
      </c>
      <c r="I3" s="110">
        <v>2.85</v>
      </c>
      <c r="J3" s="110">
        <v>12.6</v>
      </c>
      <c r="K3" s="119">
        <v>13.83</v>
      </c>
      <c r="L3" s="114">
        <f t="shared" ref="L3:L74" si="2">K3*0.49</f>
        <v>6.7766999999999999</v>
      </c>
      <c r="M3" s="115">
        <f t="shared" ref="M3:M74" si="3">L3*1.53</f>
        <v>10.368351000000001</v>
      </c>
      <c r="N3" s="119">
        <v>188.96</v>
      </c>
      <c r="O3" s="119">
        <v>200</v>
      </c>
      <c r="P3" s="115">
        <f t="shared" si="1"/>
        <v>0.94480000000000008</v>
      </c>
      <c r="T3" s="123" t="s">
        <v>21</v>
      </c>
      <c r="U3" s="123" t="s">
        <v>4</v>
      </c>
      <c r="V3" s="123" t="s">
        <v>22</v>
      </c>
      <c r="W3" s="123" t="s">
        <v>23</v>
      </c>
    </row>
    <row r="4" spans="1:23" ht="14.45">
      <c r="A4" s="108" t="s">
        <v>24</v>
      </c>
      <c r="B4" s="109" t="s">
        <v>17</v>
      </c>
      <c r="C4" s="109" t="s">
        <v>18</v>
      </c>
      <c r="D4" s="110" t="s">
        <v>19</v>
      </c>
      <c r="E4" s="110">
        <v>1</v>
      </c>
      <c r="F4" s="110">
        <v>135</v>
      </c>
      <c r="G4" s="110" t="str">
        <f t="shared" si="0"/>
        <v>3</v>
      </c>
      <c r="H4" s="118">
        <v>46050</v>
      </c>
      <c r="I4" s="110">
        <v>2.97</v>
      </c>
      <c r="J4" s="110">
        <v>14.6</v>
      </c>
      <c r="K4" s="119">
        <v>19.04</v>
      </c>
      <c r="L4" s="114">
        <f t="shared" si="2"/>
        <v>9.3295999999999992</v>
      </c>
      <c r="M4" s="115">
        <f t="shared" si="3"/>
        <v>14.274287999999999</v>
      </c>
      <c r="N4" s="119">
        <v>208.52</v>
      </c>
      <c r="O4" s="119">
        <v>200</v>
      </c>
      <c r="P4" s="115">
        <f t="shared" si="1"/>
        <v>1.0426</v>
      </c>
      <c r="T4" s="123" t="s">
        <v>25</v>
      </c>
      <c r="U4" s="123">
        <v>79</v>
      </c>
      <c r="V4" s="123" t="s">
        <v>26</v>
      </c>
      <c r="W4" s="125">
        <v>46145</v>
      </c>
    </row>
    <row r="5" spans="1:23" ht="14.45">
      <c r="A5" s="108" t="s">
        <v>27</v>
      </c>
      <c r="B5" s="109" t="s">
        <v>17</v>
      </c>
      <c r="C5" s="109" t="s">
        <v>18</v>
      </c>
      <c r="D5" s="110" t="s">
        <v>19</v>
      </c>
      <c r="E5" s="110">
        <v>1</v>
      </c>
      <c r="F5" s="110">
        <v>135</v>
      </c>
      <c r="G5" s="110" t="str">
        <f t="shared" si="0"/>
        <v>4</v>
      </c>
      <c r="H5" s="118">
        <v>46057</v>
      </c>
      <c r="I5" s="110">
        <v>3.01</v>
      </c>
      <c r="J5" s="110">
        <v>16</v>
      </c>
      <c r="K5" s="119">
        <v>16.18</v>
      </c>
      <c r="L5" s="114">
        <f t="shared" si="2"/>
        <v>7.9281999999999995</v>
      </c>
      <c r="M5" s="115">
        <f t="shared" si="3"/>
        <v>12.130146</v>
      </c>
      <c r="N5" s="119">
        <v>225.2</v>
      </c>
      <c r="O5" s="119">
        <v>200</v>
      </c>
      <c r="P5" s="115">
        <f t="shared" si="1"/>
        <v>1.1259999999999999</v>
      </c>
      <c r="T5" s="123" t="s">
        <v>28</v>
      </c>
      <c r="U5" s="123">
        <v>110</v>
      </c>
      <c r="V5" s="123" t="s">
        <v>26</v>
      </c>
      <c r="W5" s="131">
        <v>46098</v>
      </c>
    </row>
    <row r="6" spans="1:23" ht="14.45">
      <c r="A6" s="108" t="s">
        <v>29</v>
      </c>
      <c r="B6" s="109" t="s">
        <v>17</v>
      </c>
      <c r="C6" s="109" t="s">
        <v>18</v>
      </c>
      <c r="D6" s="110" t="s">
        <v>19</v>
      </c>
      <c r="E6" s="110">
        <v>1</v>
      </c>
      <c r="F6" s="110">
        <v>135</v>
      </c>
      <c r="G6" s="110" t="str">
        <f t="shared" si="0"/>
        <v>5</v>
      </c>
      <c r="H6" s="118">
        <v>46064</v>
      </c>
      <c r="I6" s="110">
        <v>3.12</v>
      </c>
      <c r="J6" s="110">
        <v>18</v>
      </c>
      <c r="K6" s="119">
        <v>14.04</v>
      </c>
      <c r="L6" s="114">
        <f t="shared" si="2"/>
        <v>6.879599999999999</v>
      </c>
      <c r="M6" s="115">
        <f t="shared" si="3"/>
        <v>10.525787999999999</v>
      </c>
      <c r="N6" s="119">
        <v>242.4</v>
      </c>
      <c r="O6" s="119">
        <v>200</v>
      </c>
      <c r="P6" s="115">
        <f t="shared" si="1"/>
        <v>1.212</v>
      </c>
      <c r="T6" s="123" t="s">
        <v>28</v>
      </c>
      <c r="U6" s="123">
        <v>54</v>
      </c>
      <c r="V6" s="123" t="s">
        <v>30</v>
      </c>
      <c r="W6" s="131">
        <v>46145</v>
      </c>
    </row>
    <row r="7" spans="1:23" ht="14.45">
      <c r="A7" s="108" t="s">
        <v>31</v>
      </c>
      <c r="B7" s="109" t="s">
        <v>17</v>
      </c>
      <c r="C7" s="109" t="s">
        <v>18</v>
      </c>
      <c r="D7" s="110" t="s">
        <v>19</v>
      </c>
      <c r="E7" s="110">
        <v>1</v>
      </c>
      <c r="F7" s="110">
        <v>135</v>
      </c>
      <c r="G7" s="110" t="str">
        <f t="shared" si="0"/>
        <v>6</v>
      </c>
      <c r="H7" s="118">
        <v>46071</v>
      </c>
      <c r="I7" s="110">
        <v>3.18</v>
      </c>
      <c r="J7" s="110">
        <v>19.5</v>
      </c>
      <c r="K7" s="119">
        <v>12.8</v>
      </c>
      <c r="L7" s="114">
        <f t="shared" si="2"/>
        <v>6.2720000000000002</v>
      </c>
      <c r="M7" s="115">
        <f t="shared" si="3"/>
        <v>9.5961600000000011</v>
      </c>
      <c r="N7" s="119">
        <v>230</v>
      </c>
      <c r="O7" s="119">
        <v>200</v>
      </c>
      <c r="P7" s="115">
        <f t="shared" si="1"/>
        <v>1.1499999999999999</v>
      </c>
      <c r="T7" s="124" t="s">
        <v>32</v>
      </c>
      <c r="U7" s="124">
        <v>4</v>
      </c>
      <c r="V7" s="124" t="s">
        <v>30</v>
      </c>
      <c r="W7" s="124"/>
    </row>
    <row r="8" spans="1:23" ht="14.45">
      <c r="A8" s="108" t="s">
        <v>33</v>
      </c>
      <c r="B8" s="109" t="s">
        <v>17</v>
      </c>
      <c r="C8" s="109" t="s">
        <v>18</v>
      </c>
      <c r="D8" s="110" t="s">
        <v>19</v>
      </c>
      <c r="E8" s="110">
        <v>1</v>
      </c>
      <c r="F8" s="110">
        <v>135</v>
      </c>
      <c r="G8" s="110" t="str">
        <f t="shared" si="0"/>
        <v>7</v>
      </c>
      <c r="H8" s="118">
        <v>46078</v>
      </c>
      <c r="I8" s="110">
        <v>3.2</v>
      </c>
      <c r="J8" s="110">
        <v>21.3</v>
      </c>
      <c r="K8" s="119">
        <v>10.32</v>
      </c>
      <c r="L8" s="114">
        <f t="shared" si="2"/>
        <v>5.0568</v>
      </c>
      <c r="M8" s="115">
        <f t="shared" si="3"/>
        <v>7.736904</v>
      </c>
      <c r="N8" s="119">
        <v>237.2</v>
      </c>
      <c r="O8" s="119">
        <v>200</v>
      </c>
      <c r="P8" s="115">
        <f t="shared" si="1"/>
        <v>1.1859999999999999</v>
      </c>
      <c r="T8" s="123" t="s">
        <v>34</v>
      </c>
      <c r="U8" s="123">
        <v>7</v>
      </c>
      <c r="V8" s="123" t="s">
        <v>30</v>
      </c>
      <c r="W8" s="123"/>
    </row>
    <row r="9" spans="1:23" ht="14.45">
      <c r="A9" s="108" t="s">
        <v>35</v>
      </c>
      <c r="B9" s="109" t="s">
        <v>17</v>
      </c>
      <c r="C9" s="109" t="s">
        <v>18</v>
      </c>
      <c r="D9" s="110" t="s">
        <v>19</v>
      </c>
      <c r="E9" s="110">
        <v>1</v>
      </c>
      <c r="F9" s="110">
        <v>135</v>
      </c>
      <c r="G9" s="110" t="str">
        <f t="shared" si="0"/>
        <v>8</v>
      </c>
      <c r="H9" s="118">
        <v>46085</v>
      </c>
      <c r="I9" s="110">
        <v>3.2</v>
      </c>
      <c r="J9" s="110">
        <v>21.7</v>
      </c>
      <c r="K9" s="119">
        <v>10.23</v>
      </c>
      <c r="L9" s="114">
        <f t="shared" si="2"/>
        <v>5.0126999999999997</v>
      </c>
      <c r="M9" s="115">
        <f t="shared" si="3"/>
        <v>7.6694309999999994</v>
      </c>
      <c r="N9" s="119">
        <v>232.5</v>
      </c>
      <c r="O9" s="119">
        <v>200</v>
      </c>
      <c r="P9" s="115">
        <f t="shared" si="1"/>
        <v>1.1625000000000001</v>
      </c>
      <c r="T9" s="123" t="s">
        <v>36</v>
      </c>
      <c r="U9" s="123">
        <v>27</v>
      </c>
      <c r="V9" s="123" t="s">
        <v>30</v>
      </c>
      <c r="W9" s="131">
        <v>46091</v>
      </c>
    </row>
    <row r="10" spans="1:23" ht="14.45">
      <c r="A10" s="108" t="s">
        <v>37</v>
      </c>
      <c r="B10" s="109" t="s">
        <v>17</v>
      </c>
      <c r="C10" s="109" t="s">
        <v>18</v>
      </c>
      <c r="D10" s="110" t="s">
        <v>19</v>
      </c>
      <c r="E10" s="110">
        <v>1</v>
      </c>
      <c r="F10" s="110">
        <v>135</v>
      </c>
      <c r="G10" s="110" t="str">
        <f t="shared" si="0"/>
        <v>9</v>
      </c>
      <c r="H10" s="118">
        <v>46092</v>
      </c>
      <c r="I10" s="110">
        <v>3.27</v>
      </c>
      <c r="J10" s="110">
        <v>22.8</v>
      </c>
      <c r="K10" s="119">
        <v>9.52</v>
      </c>
      <c r="L10" s="114">
        <f t="shared" si="2"/>
        <v>4.6647999999999996</v>
      </c>
      <c r="M10" s="115">
        <f t="shared" si="3"/>
        <v>7.1371439999999993</v>
      </c>
      <c r="N10" s="119">
        <v>211.7</v>
      </c>
      <c r="O10" s="119">
        <v>200</v>
      </c>
      <c r="P10" s="115">
        <f t="shared" si="1"/>
        <v>1.0585</v>
      </c>
      <c r="T10" s="123" t="s">
        <v>36</v>
      </c>
      <c r="U10" s="123">
        <v>25</v>
      </c>
      <c r="V10" s="123" t="s">
        <v>26</v>
      </c>
      <c r="W10" s="131">
        <v>46071</v>
      </c>
    </row>
    <row r="11" spans="1:23" ht="14.45">
      <c r="A11" s="108" t="s">
        <v>38</v>
      </c>
      <c r="B11" s="109" t="s">
        <v>17</v>
      </c>
      <c r="C11" s="109" t="s">
        <v>18</v>
      </c>
      <c r="D11" s="110" t="s">
        <v>19</v>
      </c>
      <c r="E11" s="110">
        <v>1</v>
      </c>
      <c r="F11" s="110">
        <v>135</v>
      </c>
      <c r="G11" s="110" t="str">
        <f t="shared" si="0"/>
        <v>10</v>
      </c>
      <c r="H11" s="118">
        <v>46099</v>
      </c>
      <c r="I11" s="110">
        <v>3.28</v>
      </c>
      <c r="J11" s="110">
        <v>22.7</v>
      </c>
      <c r="K11" s="119">
        <v>9.1999999999999993</v>
      </c>
      <c r="L11" s="114">
        <f t="shared" ref="L11:L13" si="4">K11*0.49</f>
        <v>4.508</v>
      </c>
      <c r="M11" s="115">
        <f t="shared" ref="M11:M13" si="5">L11*1.53</f>
        <v>6.89724</v>
      </c>
      <c r="N11" s="119">
        <v>231.2</v>
      </c>
      <c r="O11" s="119">
        <v>200</v>
      </c>
      <c r="P11" s="115">
        <f t="shared" si="1"/>
        <v>1.1559999999999999</v>
      </c>
      <c r="T11" s="123" t="s">
        <v>39</v>
      </c>
      <c r="U11" s="123">
        <v>7</v>
      </c>
      <c r="V11" s="123" t="s">
        <v>30</v>
      </c>
      <c r="W11" s="123"/>
    </row>
    <row r="12" spans="1:23" ht="14.45">
      <c r="A12" s="108" t="s">
        <v>40</v>
      </c>
      <c r="B12" s="109" t="s">
        <v>17</v>
      </c>
      <c r="C12" s="109" t="s">
        <v>18</v>
      </c>
      <c r="D12" s="110" t="s">
        <v>19</v>
      </c>
      <c r="E12" s="110">
        <v>1</v>
      </c>
      <c r="F12" s="110">
        <v>135</v>
      </c>
      <c r="G12" s="110" t="str">
        <f t="shared" si="0"/>
        <v>11</v>
      </c>
      <c r="H12" s="118" t="s">
        <v>41</v>
      </c>
      <c r="I12" s="110">
        <v>3.15</v>
      </c>
      <c r="J12" s="110">
        <v>23.3</v>
      </c>
      <c r="K12" s="119">
        <v>8.93</v>
      </c>
      <c r="L12" s="114">
        <f t="shared" si="4"/>
        <v>4.3757000000000001</v>
      </c>
      <c r="M12" s="115">
        <f t="shared" si="5"/>
        <v>6.6948210000000001</v>
      </c>
      <c r="N12" s="119">
        <v>221.6</v>
      </c>
      <c r="O12" s="119">
        <v>200</v>
      </c>
      <c r="P12" s="115">
        <f t="shared" si="1"/>
        <v>1.1079999999999999</v>
      </c>
      <c r="T12" s="124" t="s">
        <v>42</v>
      </c>
      <c r="U12" s="124">
        <v>45</v>
      </c>
      <c r="V12" s="124" t="s">
        <v>26</v>
      </c>
      <c r="W12" s="124"/>
    </row>
    <row r="13" spans="1:23" ht="14.45">
      <c r="A13" s="108" t="s">
        <v>43</v>
      </c>
      <c r="B13" s="109" t="s">
        <v>17</v>
      </c>
      <c r="C13" s="109" t="s">
        <v>18</v>
      </c>
      <c r="D13" s="110" t="s">
        <v>19</v>
      </c>
      <c r="E13" s="110">
        <v>1</v>
      </c>
      <c r="F13" s="110">
        <v>135</v>
      </c>
      <c r="G13" s="110" t="str">
        <f t="shared" si="0"/>
        <v>12</v>
      </c>
      <c r="H13" s="118"/>
      <c r="I13" s="110"/>
      <c r="J13" s="110"/>
      <c r="K13" s="119"/>
      <c r="L13" s="114">
        <f t="shared" si="4"/>
        <v>0</v>
      </c>
      <c r="M13" s="115">
        <f t="shared" si="5"/>
        <v>0</v>
      </c>
      <c r="N13" s="119"/>
      <c r="O13" s="119"/>
      <c r="P13" s="115" t="e">
        <f t="shared" si="1"/>
        <v>#DIV/0!</v>
      </c>
      <c r="T13" s="124"/>
      <c r="U13" s="124"/>
      <c r="V13" s="124"/>
      <c r="W13" s="124"/>
    </row>
    <row r="14" spans="1:23" ht="14.45">
      <c r="A14" s="108" t="s">
        <v>44</v>
      </c>
      <c r="B14" s="109" t="s">
        <v>45</v>
      </c>
      <c r="C14" s="109" t="s">
        <v>18</v>
      </c>
      <c r="D14" s="110" t="s">
        <v>19</v>
      </c>
      <c r="E14" s="110">
        <v>9</v>
      </c>
      <c r="F14" s="110">
        <v>300</v>
      </c>
      <c r="G14" s="110" t="str">
        <f t="shared" si="0"/>
        <v>1</v>
      </c>
      <c r="H14" s="118">
        <v>46044</v>
      </c>
      <c r="I14" s="110">
        <v>2.73</v>
      </c>
      <c r="J14" s="110">
        <v>15.4</v>
      </c>
      <c r="K14" s="119">
        <v>11.43</v>
      </c>
      <c r="L14" s="114">
        <f t="shared" si="2"/>
        <v>5.6006999999999998</v>
      </c>
      <c r="M14" s="115">
        <f t="shared" si="3"/>
        <v>8.5690709999999992</v>
      </c>
      <c r="N14" s="119">
        <v>159.84</v>
      </c>
      <c r="O14" s="119">
        <v>200</v>
      </c>
      <c r="P14" s="115">
        <f t="shared" si="1"/>
        <v>0.79920000000000002</v>
      </c>
      <c r="S14" t="s">
        <v>46</v>
      </c>
      <c r="T14" s="124" t="s">
        <v>47</v>
      </c>
      <c r="U14" s="124">
        <v>1</v>
      </c>
      <c r="V14" s="124" t="s">
        <v>26</v>
      </c>
      <c r="W14" s="131">
        <v>46073</v>
      </c>
    </row>
    <row r="15" spans="1:23" ht="14.45">
      <c r="A15" s="108" t="s">
        <v>48</v>
      </c>
      <c r="B15" s="109" t="s">
        <v>45</v>
      </c>
      <c r="C15" s="109" t="s">
        <v>18</v>
      </c>
      <c r="D15" s="110" t="s">
        <v>19</v>
      </c>
      <c r="E15" s="110">
        <v>9</v>
      </c>
      <c r="F15" s="110">
        <v>300</v>
      </c>
      <c r="G15" s="110" t="str">
        <f t="shared" si="0"/>
        <v>2</v>
      </c>
      <c r="H15" s="118">
        <v>46050</v>
      </c>
      <c r="I15" s="110">
        <v>2.93</v>
      </c>
      <c r="J15" s="110">
        <v>18.399999999999999</v>
      </c>
      <c r="K15" s="119">
        <v>15.38</v>
      </c>
      <c r="L15" s="114">
        <f t="shared" si="2"/>
        <v>7.5362</v>
      </c>
      <c r="M15" s="115">
        <f t="shared" si="3"/>
        <v>11.530386</v>
      </c>
      <c r="N15" s="119">
        <v>196.74</v>
      </c>
      <c r="O15" s="119">
        <v>200</v>
      </c>
      <c r="P15" s="115">
        <f t="shared" si="1"/>
        <v>0.98370000000000002</v>
      </c>
      <c r="T15" s="124" t="s">
        <v>47</v>
      </c>
      <c r="U15" s="124">
        <v>9</v>
      </c>
      <c r="V15" s="124" t="s">
        <v>30</v>
      </c>
      <c r="W15" s="131">
        <v>46070</v>
      </c>
    </row>
    <row r="16" spans="1:23" ht="14.45">
      <c r="A16" s="108" t="s">
        <v>49</v>
      </c>
      <c r="B16" s="109" t="s">
        <v>45</v>
      </c>
      <c r="C16" s="109" t="s">
        <v>18</v>
      </c>
      <c r="D16" s="110" t="s">
        <v>19</v>
      </c>
      <c r="E16" s="110">
        <v>9</v>
      </c>
      <c r="F16" s="110">
        <v>300</v>
      </c>
      <c r="G16" s="110" t="str">
        <f t="shared" si="0"/>
        <v>3</v>
      </c>
      <c r="H16" s="118">
        <v>46057</v>
      </c>
      <c r="I16" s="110">
        <v>2.98</v>
      </c>
      <c r="J16" s="110">
        <v>19.8</v>
      </c>
      <c r="K16" s="119">
        <v>10.56</v>
      </c>
      <c r="L16" s="114">
        <f t="shared" si="2"/>
        <v>5.1744000000000003</v>
      </c>
      <c r="M16" s="115">
        <f t="shared" si="3"/>
        <v>7.9168320000000003</v>
      </c>
      <c r="N16" s="119">
        <v>221.3</v>
      </c>
      <c r="O16" s="119">
        <v>200</v>
      </c>
      <c r="P16" s="115">
        <f t="shared" si="1"/>
        <v>1.1065</v>
      </c>
      <c r="T16" s="123" t="s">
        <v>50</v>
      </c>
      <c r="U16" s="123">
        <v>2</v>
      </c>
      <c r="V16" s="123" t="s">
        <v>51</v>
      </c>
      <c r="W16" s="123"/>
    </row>
    <row r="17" spans="1:23" ht="14.45">
      <c r="A17" s="108" t="s">
        <v>52</v>
      </c>
      <c r="B17" s="109" t="s">
        <v>45</v>
      </c>
      <c r="C17" s="109" t="s">
        <v>18</v>
      </c>
      <c r="D17" s="110" t="s">
        <v>19</v>
      </c>
      <c r="E17" s="110">
        <v>9</v>
      </c>
      <c r="F17" s="110">
        <v>300</v>
      </c>
      <c r="G17" s="110" t="str">
        <f t="shared" si="0"/>
        <v>4</v>
      </c>
      <c r="H17" s="118">
        <v>46064</v>
      </c>
      <c r="I17" s="110">
        <v>3.13</v>
      </c>
      <c r="J17" s="110">
        <v>21.9</v>
      </c>
      <c r="K17" s="119">
        <v>8.8000000000000007</v>
      </c>
      <c r="L17" s="114">
        <f t="shared" si="2"/>
        <v>4.3120000000000003</v>
      </c>
      <c r="M17" s="115">
        <f t="shared" si="3"/>
        <v>6.5973600000000001</v>
      </c>
      <c r="N17" s="119">
        <v>234.2</v>
      </c>
      <c r="O17" s="119">
        <v>200</v>
      </c>
      <c r="P17" s="115">
        <f t="shared" si="1"/>
        <v>1.171</v>
      </c>
      <c r="T17" s="123" t="s">
        <v>53</v>
      </c>
      <c r="U17" s="123">
        <v>93</v>
      </c>
      <c r="V17" s="123" t="s">
        <v>54</v>
      </c>
      <c r="W17" s="123" t="s">
        <v>55</v>
      </c>
    </row>
    <row r="18" spans="1:23" ht="14.45">
      <c r="A18" s="108" t="s">
        <v>56</v>
      </c>
      <c r="B18" s="109" t="s">
        <v>45</v>
      </c>
      <c r="C18" s="109" t="s">
        <v>18</v>
      </c>
      <c r="D18" s="110" t="s">
        <v>19</v>
      </c>
      <c r="E18" s="110">
        <v>9</v>
      </c>
      <c r="F18" s="110">
        <v>300</v>
      </c>
      <c r="G18" s="110" t="str">
        <f t="shared" si="0"/>
        <v>5</v>
      </c>
      <c r="H18" s="118">
        <v>46071</v>
      </c>
      <c r="I18" s="110">
        <v>3.21</v>
      </c>
      <c r="J18" s="110">
        <v>23.9</v>
      </c>
      <c r="K18" s="119">
        <v>8.86</v>
      </c>
      <c r="L18" s="114">
        <f t="shared" si="2"/>
        <v>4.3413999999999993</v>
      </c>
      <c r="M18" s="115">
        <f t="shared" si="3"/>
        <v>6.6423419999999993</v>
      </c>
      <c r="N18" s="119">
        <v>229.2</v>
      </c>
      <c r="O18" s="119">
        <v>200</v>
      </c>
      <c r="P18" s="115">
        <f t="shared" si="1"/>
        <v>1.1459999999999999</v>
      </c>
      <c r="T18" s="123" t="s">
        <v>57</v>
      </c>
      <c r="U18" s="123">
        <v>3</v>
      </c>
      <c r="V18" s="123" t="s">
        <v>51</v>
      </c>
      <c r="W18" s="123" t="s">
        <v>58</v>
      </c>
    </row>
    <row r="19" spans="1:23" ht="14.45">
      <c r="A19" s="108" t="s">
        <v>59</v>
      </c>
      <c r="B19" s="109" t="s">
        <v>45</v>
      </c>
      <c r="C19" s="109" t="s">
        <v>18</v>
      </c>
      <c r="D19" s="110" t="s">
        <v>19</v>
      </c>
      <c r="E19" s="110">
        <v>9</v>
      </c>
      <c r="F19" s="110">
        <v>300</v>
      </c>
      <c r="G19" s="110" t="str">
        <f t="shared" si="0"/>
        <v>6</v>
      </c>
      <c r="H19" s="118">
        <v>46078</v>
      </c>
      <c r="I19" s="110">
        <v>3.27</v>
      </c>
      <c r="J19" s="110">
        <v>24.8</v>
      </c>
      <c r="K19" s="119">
        <v>7.66</v>
      </c>
      <c r="L19" s="114">
        <f t="shared" si="2"/>
        <v>3.7534000000000001</v>
      </c>
      <c r="M19" s="115">
        <f t="shared" si="3"/>
        <v>5.7427020000000004</v>
      </c>
      <c r="N19" s="119">
        <v>200.9</v>
      </c>
      <c r="O19" s="119">
        <v>200</v>
      </c>
      <c r="P19" s="115">
        <f t="shared" si="1"/>
        <v>1.0044999999999999</v>
      </c>
      <c r="T19" s="124" t="s">
        <v>60</v>
      </c>
      <c r="U19" s="124">
        <v>13</v>
      </c>
      <c r="V19" s="124" t="s">
        <v>54</v>
      </c>
      <c r="W19" s="124"/>
    </row>
    <row r="20" spans="1:23" ht="14.45">
      <c r="A20" s="108" t="s">
        <v>61</v>
      </c>
      <c r="B20" s="109" t="s">
        <v>45</v>
      </c>
      <c r="C20" s="109" t="s">
        <v>18</v>
      </c>
      <c r="D20" s="110" t="s">
        <v>19</v>
      </c>
      <c r="E20" s="110">
        <v>9</v>
      </c>
      <c r="F20" s="110">
        <v>300</v>
      </c>
      <c r="G20" s="110" t="str">
        <f t="shared" si="0"/>
        <v>7</v>
      </c>
      <c r="H20" s="118">
        <v>46085</v>
      </c>
      <c r="I20" s="110">
        <v>3.32</v>
      </c>
      <c r="J20" s="110">
        <v>25.2</v>
      </c>
      <c r="K20" s="119">
        <v>6.45</v>
      </c>
      <c r="L20" s="114">
        <f t="shared" si="2"/>
        <v>3.1604999999999999</v>
      </c>
      <c r="M20" s="115">
        <f t="shared" si="3"/>
        <v>4.8355649999999999</v>
      </c>
      <c r="N20" s="119">
        <v>194.6</v>
      </c>
      <c r="O20" s="119">
        <v>200</v>
      </c>
      <c r="P20" s="115">
        <f t="shared" si="1"/>
        <v>0.97299999999999998</v>
      </c>
      <c r="T20" s="123" t="s">
        <v>25</v>
      </c>
      <c r="U20" s="123">
        <v>207</v>
      </c>
      <c r="V20" s="123" t="s">
        <v>51</v>
      </c>
      <c r="W20" s="123"/>
    </row>
    <row r="21" spans="1:23" ht="14.45">
      <c r="A21" s="108" t="s">
        <v>62</v>
      </c>
      <c r="B21" s="109" t="s">
        <v>45</v>
      </c>
      <c r="C21" s="109" t="s">
        <v>18</v>
      </c>
      <c r="D21" s="110" t="s">
        <v>19</v>
      </c>
      <c r="E21" s="110">
        <v>9</v>
      </c>
      <c r="F21" s="110">
        <v>300</v>
      </c>
      <c r="G21" s="110" t="str">
        <f t="shared" si="0"/>
        <v>8</v>
      </c>
      <c r="H21" s="118">
        <v>46092</v>
      </c>
      <c r="I21" s="110">
        <v>3.26</v>
      </c>
      <c r="J21" s="110">
        <v>26</v>
      </c>
      <c r="K21" s="119">
        <v>6.37</v>
      </c>
      <c r="L21" s="114">
        <f t="shared" si="2"/>
        <v>3.1213000000000002</v>
      </c>
      <c r="M21" s="115">
        <f t="shared" si="3"/>
        <v>4.7755890000000001</v>
      </c>
      <c r="N21" s="119">
        <v>188.7</v>
      </c>
      <c r="O21" s="119">
        <v>200</v>
      </c>
      <c r="P21" s="115">
        <f t="shared" si="1"/>
        <v>0.94349999999999989</v>
      </c>
      <c r="T21" s="123" t="s">
        <v>25</v>
      </c>
      <c r="U21" s="123">
        <v>171</v>
      </c>
      <c r="V21" s="123" t="s">
        <v>54</v>
      </c>
      <c r="W21" s="123"/>
    </row>
    <row r="22" spans="1:23" ht="14.45">
      <c r="A22" s="108" t="s">
        <v>63</v>
      </c>
      <c r="B22" s="109" t="s">
        <v>45</v>
      </c>
      <c r="C22" s="109" t="s">
        <v>18</v>
      </c>
      <c r="D22" s="110" t="s">
        <v>19</v>
      </c>
      <c r="E22" s="110">
        <v>9</v>
      </c>
      <c r="F22" s="110">
        <v>300</v>
      </c>
      <c r="G22" s="110" t="str">
        <f t="shared" si="0"/>
        <v>9</v>
      </c>
      <c r="H22" s="118">
        <v>46099</v>
      </c>
      <c r="I22" s="110">
        <v>3.44</v>
      </c>
      <c r="J22" s="110">
        <v>25.5</v>
      </c>
      <c r="K22" s="119">
        <v>6.48</v>
      </c>
      <c r="L22" s="114">
        <f t="shared" si="2"/>
        <v>3.1752000000000002</v>
      </c>
      <c r="M22" s="115">
        <f t="shared" si="3"/>
        <v>4.8580560000000004</v>
      </c>
      <c r="N22" s="119">
        <v>208.9</v>
      </c>
      <c r="O22" s="119">
        <v>200</v>
      </c>
      <c r="P22" s="115">
        <f t="shared" si="1"/>
        <v>1.0445</v>
      </c>
      <c r="T22" s="123" t="s">
        <v>64</v>
      </c>
      <c r="U22" s="123">
        <v>1</v>
      </c>
      <c r="V22" s="123" t="s">
        <v>54</v>
      </c>
      <c r="W22" s="123"/>
    </row>
    <row r="23" spans="1:23" ht="14.45">
      <c r="A23" s="108" t="s">
        <v>65</v>
      </c>
      <c r="B23" s="109" t="s">
        <v>45</v>
      </c>
      <c r="C23" s="109" t="s">
        <v>18</v>
      </c>
      <c r="D23" s="110" t="s">
        <v>19</v>
      </c>
      <c r="E23" s="110">
        <v>9</v>
      </c>
      <c r="F23" s="110">
        <v>300</v>
      </c>
      <c r="G23" s="110" t="str">
        <f t="shared" ref="G23:G24" si="6">_xlfn.TEXTAFTER(A23, "-", 2)</f>
        <v>10</v>
      </c>
      <c r="H23" s="118" t="s">
        <v>41</v>
      </c>
      <c r="I23" s="110">
        <v>3.19</v>
      </c>
      <c r="J23" s="110">
        <v>25.7</v>
      </c>
      <c r="K23" s="119">
        <v>6.62</v>
      </c>
      <c r="L23" s="114">
        <f t="shared" ref="L23" si="7">K23*0.49</f>
        <v>3.2437999999999998</v>
      </c>
      <c r="M23" s="115">
        <f t="shared" ref="M23" si="8">L23*1.53</f>
        <v>4.9630139999999994</v>
      </c>
      <c r="N23" s="119">
        <v>199.3</v>
      </c>
      <c r="O23" s="119">
        <v>200</v>
      </c>
      <c r="P23" s="115">
        <f t="shared" si="1"/>
        <v>0.99650000000000005</v>
      </c>
      <c r="T23" s="124" t="s">
        <v>66</v>
      </c>
      <c r="U23" s="124">
        <v>9</v>
      </c>
      <c r="V23" s="124" t="s">
        <v>51</v>
      </c>
      <c r="W23" s="124"/>
    </row>
    <row r="24" spans="1:23" ht="14.45">
      <c r="A24" s="108" t="s">
        <v>67</v>
      </c>
      <c r="B24" s="109" t="s">
        <v>45</v>
      </c>
      <c r="C24" s="109" t="s">
        <v>18</v>
      </c>
      <c r="D24" s="110" t="s">
        <v>19</v>
      </c>
      <c r="E24" s="110">
        <v>9</v>
      </c>
      <c r="F24" s="110">
        <v>300</v>
      </c>
      <c r="G24" s="110" t="str">
        <f t="shared" si="6"/>
        <v>11</v>
      </c>
      <c r="H24" s="118"/>
      <c r="I24" s="110"/>
      <c r="J24" s="110"/>
      <c r="K24" s="119"/>
      <c r="L24" s="114"/>
      <c r="M24" s="115"/>
      <c r="N24" s="119"/>
      <c r="O24" s="119"/>
      <c r="P24" s="115"/>
      <c r="T24" s="123" t="s">
        <v>68</v>
      </c>
      <c r="U24" s="123">
        <v>42</v>
      </c>
      <c r="V24" s="123" t="s">
        <v>54</v>
      </c>
      <c r="W24" s="123" t="s">
        <v>55</v>
      </c>
    </row>
    <row r="25" spans="1:23" ht="14.45">
      <c r="A25" s="108" t="s">
        <v>69</v>
      </c>
      <c r="B25" s="109" t="s">
        <v>17</v>
      </c>
      <c r="C25" s="109" t="s">
        <v>18</v>
      </c>
      <c r="D25" s="110" t="s">
        <v>70</v>
      </c>
      <c r="E25" s="110">
        <v>92</v>
      </c>
      <c r="F25" s="110">
        <v>110</v>
      </c>
      <c r="G25" s="110" t="str">
        <f t="shared" ref="G25:G35" si="9">_xlfn.TEXTAFTER(A25, "-", 2)</f>
        <v>1</v>
      </c>
      <c r="H25" s="118">
        <v>46043</v>
      </c>
      <c r="I25" s="110">
        <v>2.94</v>
      </c>
      <c r="J25" s="110">
        <v>14.3</v>
      </c>
      <c r="K25" s="119">
        <v>18.48</v>
      </c>
      <c r="L25" s="114">
        <f t="shared" si="2"/>
        <v>9.0551999999999992</v>
      </c>
      <c r="M25" s="115">
        <f t="shared" si="3"/>
        <v>13.854455999999999</v>
      </c>
      <c r="N25" s="119">
        <v>244.81</v>
      </c>
      <c r="O25" s="119">
        <v>200</v>
      </c>
      <c r="P25" s="115">
        <f t="shared" si="1"/>
        <v>1.2240500000000001</v>
      </c>
      <c r="T25" s="123" t="s">
        <v>71</v>
      </c>
      <c r="U25" s="123">
        <v>40</v>
      </c>
      <c r="V25" s="123" t="s">
        <v>51</v>
      </c>
      <c r="W25" s="123"/>
    </row>
    <row r="26" spans="1:23" ht="14.45">
      <c r="A26" s="108" t="s">
        <v>72</v>
      </c>
      <c r="B26" s="109" t="s">
        <v>17</v>
      </c>
      <c r="C26" s="109" t="s">
        <v>18</v>
      </c>
      <c r="D26" s="110" t="s">
        <v>70</v>
      </c>
      <c r="E26" s="110">
        <v>92</v>
      </c>
      <c r="F26" s="110">
        <v>110</v>
      </c>
      <c r="G26" s="110" t="str">
        <f t="shared" si="9"/>
        <v>2</v>
      </c>
      <c r="H26" s="118">
        <v>46049</v>
      </c>
      <c r="I26" s="110">
        <v>2.85</v>
      </c>
      <c r="J26" s="110">
        <v>15.6</v>
      </c>
      <c r="K26" s="119">
        <v>19.600000000000001</v>
      </c>
      <c r="L26" s="114">
        <f t="shared" si="2"/>
        <v>9.604000000000001</v>
      </c>
      <c r="M26" s="115">
        <f t="shared" si="3"/>
        <v>14.694120000000002</v>
      </c>
      <c r="N26" s="119">
        <v>263.66000000000003</v>
      </c>
      <c r="O26" s="119">
        <v>200</v>
      </c>
      <c r="P26" s="115">
        <f t="shared" si="1"/>
        <v>1.3183</v>
      </c>
      <c r="T26" s="123" t="s">
        <v>73</v>
      </c>
      <c r="U26" s="123">
        <v>24</v>
      </c>
      <c r="V26" s="123" t="s">
        <v>54</v>
      </c>
      <c r="W26" s="123" t="s">
        <v>74</v>
      </c>
    </row>
    <row r="27" spans="1:23" ht="14.45">
      <c r="A27" s="108" t="s">
        <v>75</v>
      </c>
      <c r="B27" s="109" t="s">
        <v>17</v>
      </c>
      <c r="C27" s="109" t="s">
        <v>18</v>
      </c>
      <c r="D27" s="110" t="s">
        <v>70</v>
      </c>
      <c r="E27" s="110">
        <v>92</v>
      </c>
      <c r="F27" s="110">
        <v>110</v>
      </c>
      <c r="G27" s="110" t="str">
        <f t="shared" si="9"/>
        <v>3</v>
      </c>
      <c r="H27" s="118">
        <v>46056</v>
      </c>
      <c r="I27" s="110">
        <v>2.96</v>
      </c>
      <c r="J27" s="110">
        <v>17.3</v>
      </c>
      <c r="K27" s="119">
        <v>14.66</v>
      </c>
      <c r="L27" s="114">
        <f t="shared" si="2"/>
        <v>7.1833999999999998</v>
      </c>
      <c r="M27" s="115">
        <f t="shared" si="3"/>
        <v>10.990601999999999</v>
      </c>
      <c r="N27" s="119">
        <v>268.39999999999998</v>
      </c>
      <c r="O27" s="119">
        <v>200</v>
      </c>
      <c r="P27" s="115">
        <f t="shared" si="1"/>
        <v>1.3419999999999999</v>
      </c>
      <c r="T27" s="123"/>
      <c r="U27" s="123"/>
      <c r="V27" s="123"/>
      <c r="W27" s="123"/>
    </row>
    <row r="28" spans="1:23" ht="14.45">
      <c r="A28" s="108" t="s">
        <v>76</v>
      </c>
      <c r="B28" s="109" t="s">
        <v>17</v>
      </c>
      <c r="C28" s="109" t="s">
        <v>18</v>
      </c>
      <c r="D28" s="110" t="s">
        <v>70</v>
      </c>
      <c r="E28" s="110">
        <v>92</v>
      </c>
      <c r="F28" s="110">
        <v>110</v>
      </c>
      <c r="G28" s="110" t="str">
        <f t="shared" si="9"/>
        <v>4</v>
      </c>
      <c r="H28" s="118">
        <v>46063</v>
      </c>
      <c r="I28" s="110">
        <v>3.12</v>
      </c>
      <c r="J28" s="110">
        <v>19.8</v>
      </c>
      <c r="K28" s="119">
        <v>12.12</v>
      </c>
      <c r="L28" s="114">
        <f t="shared" si="2"/>
        <v>5.9387999999999996</v>
      </c>
      <c r="M28" s="115">
        <f t="shared" si="3"/>
        <v>9.0863639999999997</v>
      </c>
      <c r="N28" s="119">
        <v>277.39999999999998</v>
      </c>
      <c r="O28" s="119">
        <v>200</v>
      </c>
      <c r="P28" s="115">
        <f t="shared" si="1"/>
        <v>1.3869999999999998</v>
      </c>
      <c r="T28" s="123"/>
      <c r="U28" s="123"/>
      <c r="V28" s="123"/>
      <c r="W28" s="132"/>
    </row>
    <row r="29" spans="1:23" ht="14.45">
      <c r="A29" s="108" t="s">
        <v>77</v>
      </c>
      <c r="B29" s="109" t="s">
        <v>17</v>
      </c>
      <c r="C29" s="109" t="s">
        <v>18</v>
      </c>
      <c r="D29" s="110" t="s">
        <v>70</v>
      </c>
      <c r="E29" s="110">
        <v>92</v>
      </c>
      <c r="F29" s="110">
        <v>110</v>
      </c>
      <c r="G29" s="110" t="str">
        <f t="shared" si="9"/>
        <v>5</v>
      </c>
      <c r="H29" s="118">
        <v>46070</v>
      </c>
      <c r="I29" s="110">
        <v>3.16</v>
      </c>
      <c r="J29" s="110">
        <v>21.7</v>
      </c>
      <c r="K29" s="119">
        <v>11.3</v>
      </c>
      <c r="L29" s="114">
        <f t="shared" si="2"/>
        <v>5.5369999999999999</v>
      </c>
      <c r="M29" s="115">
        <f t="shared" si="3"/>
        <v>8.4716100000000001</v>
      </c>
      <c r="N29" s="119">
        <v>281</v>
      </c>
      <c r="O29" s="119">
        <v>200</v>
      </c>
      <c r="P29" s="115">
        <f t="shared" si="1"/>
        <v>1.405</v>
      </c>
    </row>
    <row r="30" spans="1:23" ht="14.45">
      <c r="A30" s="108" t="s">
        <v>78</v>
      </c>
      <c r="B30" s="109" t="s">
        <v>17</v>
      </c>
      <c r="C30" s="109" t="s">
        <v>18</v>
      </c>
      <c r="D30" s="110" t="s">
        <v>70</v>
      </c>
      <c r="E30" s="110">
        <v>92</v>
      </c>
      <c r="F30" s="110">
        <v>110</v>
      </c>
      <c r="G30" s="110" t="str">
        <f t="shared" si="9"/>
        <v>6</v>
      </c>
      <c r="H30" s="118">
        <v>46077</v>
      </c>
      <c r="I30" s="110">
        <v>3.14</v>
      </c>
      <c r="J30" s="110">
        <v>23.1</v>
      </c>
      <c r="K30" s="119">
        <v>10.02</v>
      </c>
      <c r="L30" s="114">
        <f t="shared" si="2"/>
        <v>4.9097999999999997</v>
      </c>
      <c r="M30" s="115">
        <f t="shared" si="3"/>
        <v>7.5119939999999996</v>
      </c>
      <c r="N30" s="119">
        <v>278.8</v>
      </c>
      <c r="O30" s="119">
        <v>200</v>
      </c>
      <c r="P30" s="115">
        <f t="shared" si="1"/>
        <v>1.3940000000000001</v>
      </c>
    </row>
    <row r="31" spans="1:23" ht="14.45">
      <c r="A31" s="108" t="s">
        <v>79</v>
      </c>
      <c r="B31" s="109" t="s">
        <v>17</v>
      </c>
      <c r="C31" s="109" t="s">
        <v>18</v>
      </c>
      <c r="D31" s="110" t="s">
        <v>70</v>
      </c>
      <c r="E31" s="110">
        <v>92</v>
      </c>
      <c r="F31" s="110">
        <v>110</v>
      </c>
      <c r="G31" s="110" t="str">
        <f t="shared" si="9"/>
        <v>7</v>
      </c>
      <c r="H31" s="118">
        <v>46084</v>
      </c>
      <c r="I31" s="110">
        <v>3.16</v>
      </c>
      <c r="J31" s="110">
        <v>23.4</v>
      </c>
      <c r="K31" s="119">
        <v>9.5500000000000007</v>
      </c>
      <c r="L31" s="114">
        <f t="shared" si="2"/>
        <v>4.6795</v>
      </c>
      <c r="M31" s="115">
        <f t="shared" si="3"/>
        <v>7.1596349999999997</v>
      </c>
      <c r="N31" s="119">
        <v>277.7</v>
      </c>
      <c r="O31" s="119">
        <v>200</v>
      </c>
      <c r="P31" s="115">
        <f t="shared" si="1"/>
        <v>1.3884999999999998</v>
      </c>
      <c r="T31" t="s">
        <v>80</v>
      </c>
    </row>
    <row r="32" spans="1:23" ht="14.45">
      <c r="A32" s="108" t="s">
        <v>81</v>
      </c>
      <c r="B32" s="109" t="s">
        <v>17</v>
      </c>
      <c r="C32" s="109" t="s">
        <v>18</v>
      </c>
      <c r="D32" s="110" t="s">
        <v>70</v>
      </c>
      <c r="E32" s="110">
        <v>92</v>
      </c>
      <c r="F32" s="110">
        <v>110</v>
      </c>
      <c r="G32" s="110" t="str">
        <f t="shared" si="9"/>
        <v>8</v>
      </c>
      <c r="H32" s="118">
        <v>46091</v>
      </c>
      <c r="I32" s="110">
        <v>3.11</v>
      </c>
      <c r="J32" s="110">
        <v>25.1</v>
      </c>
      <c r="K32" s="119">
        <v>9.23</v>
      </c>
      <c r="L32" s="114">
        <f t="shared" si="2"/>
        <v>4.5227000000000004</v>
      </c>
      <c r="M32" s="115">
        <f t="shared" si="3"/>
        <v>6.9197310000000005</v>
      </c>
      <c r="N32" s="119">
        <v>249.6</v>
      </c>
      <c r="O32" s="119">
        <v>200</v>
      </c>
      <c r="P32" s="115">
        <f t="shared" si="1"/>
        <v>1.248</v>
      </c>
    </row>
    <row r="33" spans="1:23" ht="14.45">
      <c r="A33" s="108" t="s">
        <v>82</v>
      </c>
      <c r="B33" s="109" t="s">
        <v>17</v>
      </c>
      <c r="C33" s="109" t="s">
        <v>18</v>
      </c>
      <c r="D33" s="110" t="s">
        <v>70</v>
      </c>
      <c r="E33" s="110">
        <v>92</v>
      </c>
      <c r="F33" s="110">
        <v>110</v>
      </c>
      <c r="G33" s="110" t="str">
        <f t="shared" si="9"/>
        <v>9</v>
      </c>
      <c r="H33" s="118">
        <v>46098</v>
      </c>
      <c r="I33" s="110">
        <v>3.21</v>
      </c>
      <c r="J33" s="110">
        <v>23.6</v>
      </c>
      <c r="K33" s="119">
        <v>8.66</v>
      </c>
      <c r="L33" s="114">
        <f t="shared" si="2"/>
        <v>4.2434000000000003</v>
      </c>
      <c r="M33" s="115">
        <f t="shared" si="3"/>
        <v>6.4924020000000002</v>
      </c>
      <c r="N33" s="119">
        <v>248.4</v>
      </c>
      <c r="O33" s="119">
        <v>200</v>
      </c>
      <c r="P33" s="115">
        <f t="shared" si="1"/>
        <v>1.242</v>
      </c>
      <c r="T33" s="123" t="s">
        <v>21</v>
      </c>
      <c r="U33" s="123" t="s">
        <v>4</v>
      </c>
      <c r="V33" s="123" t="s">
        <v>22</v>
      </c>
      <c r="W33" s="123" t="s">
        <v>23</v>
      </c>
    </row>
    <row r="34" spans="1:23" ht="14.45">
      <c r="A34" s="108" t="s">
        <v>83</v>
      </c>
      <c r="B34" s="109" t="s">
        <v>17</v>
      </c>
      <c r="C34" s="109" t="s">
        <v>18</v>
      </c>
      <c r="D34" s="110" t="s">
        <v>70</v>
      </c>
      <c r="E34" s="110">
        <v>92</v>
      </c>
      <c r="F34" s="110">
        <v>110</v>
      </c>
      <c r="G34" s="110" t="str">
        <f t="shared" si="9"/>
        <v>10</v>
      </c>
      <c r="H34" s="118" t="s">
        <v>84</v>
      </c>
      <c r="I34" s="110">
        <v>3.2</v>
      </c>
      <c r="J34" s="110">
        <v>25.8</v>
      </c>
      <c r="K34" s="119">
        <v>8.34</v>
      </c>
      <c r="L34" s="114">
        <f t="shared" ref="L34:L35" si="10">K34*0.49</f>
        <v>4.0865999999999998</v>
      </c>
      <c r="M34" s="115">
        <f t="shared" ref="M34:M35" si="11">L34*1.53</f>
        <v>6.2524980000000001</v>
      </c>
      <c r="N34" s="119">
        <v>252.5</v>
      </c>
      <c r="O34" s="119">
        <v>200</v>
      </c>
      <c r="P34" s="115">
        <f t="shared" si="1"/>
        <v>1.2625</v>
      </c>
      <c r="T34" s="123" t="s">
        <v>85</v>
      </c>
      <c r="U34" s="123">
        <v>1</v>
      </c>
      <c r="V34" s="123" t="s">
        <v>26</v>
      </c>
      <c r="W34" s="131">
        <v>46073</v>
      </c>
    </row>
    <row r="35" spans="1:23" ht="14.45">
      <c r="A35" s="108" t="s">
        <v>86</v>
      </c>
      <c r="B35" s="109" t="s">
        <v>17</v>
      </c>
      <c r="C35" s="109" t="s">
        <v>18</v>
      </c>
      <c r="D35" s="110" t="s">
        <v>70</v>
      </c>
      <c r="E35" s="110">
        <v>92</v>
      </c>
      <c r="F35" s="110">
        <v>110</v>
      </c>
      <c r="G35" s="110" t="str">
        <f t="shared" si="9"/>
        <v>11</v>
      </c>
      <c r="H35" s="118">
        <v>46112</v>
      </c>
      <c r="I35" s="110">
        <v>3.26</v>
      </c>
      <c r="J35" s="110">
        <v>25.8</v>
      </c>
      <c r="K35" s="119">
        <v>7.43</v>
      </c>
      <c r="L35" s="114">
        <f t="shared" si="10"/>
        <v>3.6406999999999998</v>
      </c>
      <c r="M35" s="115">
        <f t="shared" si="11"/>
        <v>5.570271</v>
      </c>
      <c r="N35" s="119">
        <v>264.3</v>
      </c>
      <c r="O35" s="119">
        <v>200</v>
      </c>
      <c r="P35" s="115">
        <f t="shared" si="1"/>
        <v>1.3215000000000001</v>
      </c>
      <c r="T35" s="123"/>
      <c r="U35" s="123">
        <v>9</v>
      </c>
      <c r="V35" s="123" t="s">
        <v>30</v>
      </c>
      <c r="W35" s="131">
        <v>46070</v>
      </c>
    </row>
    <row r="36" spans="1:23" ht="14.45">
      <c r="A36" s="108" t="s">
        <v>87</v>
      </c>
      <c r="B36" s="109" t="s">
        <v>17</v>
      </c>
      <c r="C36" s="109" t="s">
        <v>18</v>
      </c>
      <c r="D36" s="110" t="s">
        <v>70</v>
      </c>
      <c r="E36" s="110">
        <v>92</v>
      </c>
      <c r="F36" s="110">
        <v>110</v>
      </c>
      <c r="G36" s="110">
        <v>12</v>
      </c>
      <c r="H36" s="118">
        <v>46119</v>
      </c>
      <c r="I36" s="110">
        <v>3.18</v>
      </c>
      <c r="J36" s="110">
        <v>26.2</v>
      </c>
      <c r="K36" s="119">
        <v>7.49</v>
      </c>
      <c r="L36" s="114">
        <f t="shared" ref="L36:L37" si="12">K36*0.49</f>
        <v>3.6701000000000001</v>
      </c>
      <c r="M36" s="115">
        <f t="shared" ref="M36:M37" si="13">L36*1.53</f>
        <v>5.615253</v>
      </c>
      <c r="N36" s="119">
        <v>260</v>
      </c>
      <c r="O36" s="119">
        <v>200</v>
      </c>
      <c r="P36" s="115">
        <f t="shared" si="1"/>
        <v>1.3</v>
      </c>
      <c r="T36" s="124" t="s">
        <v>28</v>
      </c>
      <c r="U36" s="124">
        <v>92</v>
      </c>
      <c r="V36" s="124" t="s">
        <v>26</v>
      </c>
      <c r="W36" s="131">
        <v>46098</v>
      </c>
    </row>
    <row r="37" spans="1:23" ht="14.45">
      <c r="A37" s="108" t="s">
        <v>88</v>
      </c>
      <c r="B37" s="109" t="s">
        <v>17</v>
      </c>
      <c r="C37" s="109" t="s">
        <v>18</v>
      </c>
      <c r="D37" s="110" t="s">
        <v>70</v>
      </c>
      <c r="E37" s="110">
        <v>92</v>
      </c>
      <c r="F37" s="110">
        <v>110</v>
      </c>
      <c r="G37" s="110">
        <v>13</v>
      </c>
      <c r="H37" s="118">
        <v>46126</v>
      </c>
      <c r="I37" s="110">
        <v>3.43</v>
      </c>
      <c r="J37" s="110">
        <v>25.7</v>
      </c>
      <c r="K37" s="119">
        <v>5.16</v>
      </c>
      <c r="L37" s="114">
        <f t="shared" si="12"/>
        <v>2.5284</v>
      </c>
      <c r="M37" s="115">
        <f t="shared" si="13"/>
        <v>3.868452</v>
      </c>
      <c r="N37" s="119">
        <v>293</v>
      </c>
      <c r="O37" s="119">
        <v>200</v>
      </c>
      <c r="P37" s="115">
        <f t="shared" si="1"/>
        <v>1.4650000000000001</v>
      </c>
      <c r="Q37" t="s">
        <v>89</v>
      </c>
      <c r="T37" s="123"/>
      <c r="U37" s="123">
        <v>54</v>
      </c>
      <c r="V37" s="123" t="s">
        <v>30</v>
      </c>
      <c r="W37" s="131">
        <v>46145</v>
      </c>
    </row>
    <row r="38" spans="1:23" ht="14.45">
      <c r="A38" s="108" t="s">
        <v>90</v>
      </c>
      <c r="B38" s="109" t="s">
        <v>17</v>
      </c>
      <c r="C38" s="109" t="s">
        <v>18</v>
      </c>
      <c r="D38" s="110" t="s">
        <v>70</v>
      </c>
      <c r="E38" s="110">
        <v>92</v>
      </c>
      <c r="F38" s="110">
        <v>110</v>
      </c>
      <c r="G38" s="110">
        <v>14</v>
      </c>
      <c r="H38" s="118">
        <v>46132</v>
      </c>
      <c r="I38" s="110">
        <v>3.26</v>
      </c>
      <c r="J38" s="110">
        <v>26.1</v>
      </c>
      <c r="K38" s="119">
        <v>8.5</v>
      </c>
      <c r="L38" s="114">
        <f t="shared" ref="L38" si="14">K38*0.49</f>
        <v>4.165</v>
      </c>
      <c r="M38" s="115">
        <f t="shared" ref="M38" si="15">L38*1.53</f>
        <v>6.3724499999999997</v>
      </c>
      <c r="N38" s="119">
        <v>285</v>
      </c>
      <c r="O38" s="119">
        <v>200</v>
      </c>
      <c r="P38" s="115">
        <f t="shared" ref="P38" si="16">N38/O38</f>
        <v>1.425</v>
      </c>
      <c r="T38" s="123" t="s">
        <v>36</v>
      </c>
      <c r="U38" s="123">
        <v>25</v>
      </c>
      <c r="V38" s="123" t="s">
        <v>26</v>
      </c>
      <c r="W38" s="131">
        <v>46091</v>
      </c>
    </row>
    <row r="39" spans="1:23" ht="14.45">
      <c r="A39" s="108" t="s">
        <v>91</v>
      </c>
      <c r="B39" s="109" t="s">
        <v>45</v>
      </c>
      <c r="C39" s="109" t="s">
        <v>18</v>
      </c>
      <c r="D39" s="110" t="s">
        <v>70</v>
      </c>
      <c r="E39" s="110">
        <v>54</v>
      </c>
      <c r="F39" s="110">
        <v>85</v>
      </c>
      <c r="G39" s="110" t="str">
        <f t="shared" ref="G39:G50" si="17">_xlfn.TEXTAFTER(A39, "-", 2)</f>
        <v>1</v>
      </c>
      <c r="H39" s="118">
        <v>46043</v>
      </c>
      <c r="I39" s="110">
        <v>2.77</v>
      </c>
      <c r="J39" s="110">
        <v>12.2</v>
      </c>
      <c r="K39" s="119">
        <v>26.1</v>
      </c>
      <c r="L39" s="114">
        <f t="shared" si="2"/>
        <v>12.789</v>
      </c>
      <c r="M39" s="115">
        <f t="shared" si="3"/>
        <v>19.567170000000001</v>
      </c>
      <c r="N39" s="119">
        <v>310.26</v>
      </c>
      <c r="O39" s="119">
        <v>200</v>
      </c>
      <c r="P39" s="115">
        <f t="shared" si="1"/>
        <v>1.5512999999999999</v>
      </c>
      <c r="T39" s="123"/>
      <c r="U39" s="123">
        <v>27</v>
      </c>
      <c r="V39" s="123" t="s">
        <v>30</v>
      </c>
      <c r="W39" s="131">
        <v>46071</v>
      </c>
    </row>
    <row r="40" spans="1:23" ht="14.45">
      <c r="A40" s="108" t="s">
        <v>92</v>
      </c>
      <c r="B40" s="109" t="s">
        <v>45</v>
      </c>
      <c r="C40" s="109" t="s">
        <v>18</v>
      </c>
      <c r="D40" s="110" t="s">
        <v>70</v>
      </c>
      <c r="E40" s="110">
        <v>54</v>
      </c>
      <c r="F40" s="110">
        <v>85</v>
      </c>
      <c r="G40" s="110" t="str">
        <f t="shared" si="17"/>
        <v>2</v>
      </c>
      <c r="H40" s="118">
        <v>46049</v>
      </c>
      <c r="I40" s="110">
        <v>2.72</v>
      </c>
      <c r="J40" s="110">
        <v>14.8</v>
      </c>
      <c r="K40" s="119">
        <v>28.48</v>
      </c>
      <c r="L40" s="114">
        <f t="shared" si="2"/>
        <v>13.9552</v>
      </c>
      <c r="M40" s="115">
        <f t="shared" si="3"/>
        <v>21.351455999999999</v>
      </c>
      <c r="N40" s="119">
        <v>325.36</v>
      </c>
      <c r="O40" s="119">
        <v>200</v>
      </c>
      <c r="P40" s="115">
        <f t="shared" si="1"/>
        <v>1.6268</v>
      </c>
      <c r="T40" s="123" t="s">
        <v>93</v>
      </c>
      <c r="U40" s="123">
        <v>12</v>
      </c>
      <c r="V40" s="123" t="s">
        <v>26</v>
      </c>
      <c r="W40" s="131">
        <v>46095</v>
      </c>
    </row>
    <row r="41" spans="1:23" ht="14.45">
      <c r="A41" s="108" t="s">
        <v>94</v>
      </c>
      <c r="B41" s="109" t="s">
        <v>45</v>
      </c>
      <c r="C41" s="109" t="s">
        <v>18</v>
      </c>
      <c r="D41" s="110" t="s">
        <v>70</v>
      </c>
      <c r="E41" s="110">
        <v>54</v>
      </c>
      <c r="F41" s="110">
        <v>85</v>
      </c>
      <c r="G41" s="110" t="str">
        <f t="shared" si="17"/>
        <v>3</v>
      </c>
      <c r="H41" s="118">
        <v>46056</v>
      </c>
      <c r="I41" s="110">
        <v>2.8</v>
      </c>
      <c r="J41" s="110">
        <v>15.9</v>
      </c>
      <c r="K41" s="119">
        <v>23.4</v>
      </c>
      <c r="L41" s="114">
        <f t="shared" si="2"/>
        <v>11.465999999999999</v>
      </c>
      <c r="M41" s="115">
        <f t="shared" si="3"/>
        <v>17.54298</v>
      </c>
      <c r="N41" s="119">
        <v>380.7</v>
      </c>
      <c r="O41" s="119">
        <v>200</v>
      </c>
      <c r="P41" s="115">
        <f t="shared" si="1"/>
        <v>1.9035</v>
      </c>
      <c r="T41" s="123" t="s">
        <v>95</v>
      </c>
      <c r="U41" s="123">
        <v>4</v>
      </c>
      <c r="V41" s="123" t="s">
        <v>30</v>
      </c>
      <c r="W41" s="131">
        <v>46104</v>
      </c>
    </row>
    <row r="42" spans="1:23" ht="14.45">
      <c r="A42" s="108" t="s">
        <v>96</v>
      </c>
      <c r="B42" s="109" t="s">
        <v>45</v>
      </c>
      <c r="C42" s="109" t="s">
        <v>18</v>
      </c>
      <c r="D42" s="110" t="s">
        <v>70</v>
      </c>
      <c r="E42" s="110">
        <v>54</v>
      </c>
      <c r="F42" s="110">
        <v>85</v>
      </c>
      <c r="G42" s="110" t="str">
        <f t="shared" si="17"/>
        <v>4</v>
      </c>
      <c r="H42" s="118">
        <v>46063</v>
      </c>
      <c r="I42" s="110">
        <v>3.01</v>
      </c>
      <c r="J42" s="110">
        <v>18.5</v>
      </c>
      <c r="K42" s="119">
        <v>17.88</v>
      </c>
      <c r="L42" s="114">
        <f t="shared" si="2"/>
        <v>8.7611999999999988</v>
      </c>
      <c r="M42" s="115">
        <f t="shared" si="3"/>
        <v>13.404635999999998</v>
      </c>
      <c r="N42" s="119">
        <v>392.6</v>
      </c>
      <c r="O42" s="119">
        <v>200</v>
      </c>
      <c r="P42" s="115">
        <f t="shared" si="1"/>
        <v>1.9630000000000001</v>
      </c>
      <c r="T42" s="124" t="s">
        <v>39</v>
      </c>
      <c r="U42" s="124">
        <v>7</v>
      </c>
      <c r="V42" s="124" t="s">
        <v>97</v>
      </c>
      <c r="W42" s="131"/>
    </row>
    <row r="43" spans="1:23" ht="14.45">
      <c r="A43" s="108" t="s">
        <v>98</v>
      </c>
      <c r="B43" s="109" t="s">
        <v>45</v>
      </c>
      <c r="C43" s="109" t="s">
        <v>18</v>
      </c>
      <c r="D43" s="110" t="s">
        <v>70</v>
      </c>
      <c r="E43" s="110">
        <v>54</v>
      </c>
      <c r="F43" s="110">
        <v>85</v>
      </c>
      <c r="G43" s="110" t="str">
        <f t="shared" si="17"/>
        <v>5</v>
      </c>
      <c r="H43" s="118">
        <v>46070</v>
      </c>
      <c r="I43" s="110">
        <v>3.08</v>
      </c>
      <c r="J43" s="110">
        <v>20.5</v>
      </c>
      <c r="K43" s="119">
        <v>15.48</v>
      </c>
      <c r="L43" s="114">
        <f t="shared" si="2"/>
        <v>7.5852000000000004</v>
      </c>
      <c r="M43" s="115">
        <f t="shared" si="3"/>
        <v>11.605356</v>
      </c>
      <c r="N43" s="119">
        <v>403.7</v>
      </c>
      <c r="O43" s="119">
        <v>200</v>
      </c>
      <c r="P43" s="115">
        <f t="shared" si="1"/>
        <v>2.0185</v>
      </c>
      <c r="T43" s="124" t="s">
        <v>99</v>
      </c>
      <c r="U43" s="124">
        <v>7</v>
      </c>
      <c r="V43" s="124" t="s">
        <v>30</v>
      </c>
      <c r="W43" s="131"/>
    </row>
    <row r="44" spans="1:23" ht="14.45">
      <c r="A44" s="108" t="s">
        <v>100</v>
      </c>
      <c r="B44" s="109" t="s">
        <v>45</v>
      </c>
      <c r="C44" s="109" t="s">
        <v>18</v>
      </c>
      <c r="D44" s="110" t="s">
        <v>70</v>
      </c>
      <c r="E44" s="110">
        <v>54</v>
      </c>
      <c r="F44" s="110">
        <v>85</v>
      </c>
      <c r="G44" s="110" t="str">
        <f t="shared" si="17"/>
        <v>6</v>
      </c>
      <c r="H44" s="118">
        <v>46077</v>
      </c>
      <c r="I44" s="110">
        <v>3.09</v>
      </c>
      <c r="J44" s="110">
        <v>21.8</v>
      </c>
      <c r="K44" s="119">
        <v>12.8</v>
      </c>
      <c r="L44" s="114">
        <f t="shared" si="2"/>
        <v>6.2720000000000002</v>
      </c>
      <c r="M44" s="115">
        <f t="shared" si="3"/>
        <v>9.5961600000000011</v>
      </c>
      <c r="N44" s="119">
        <v>416.1</v>
      </c>
      <c r="O44" s="119">
        <v>200</v>
      </c>
      <c r="P44" s="115">
        <f t="shared" si="1"/>
        <v>2.0805000000000002</v>
      </c>
      <c r="T44" s="124" t="s">
        <v>25</v>
      </c>
      <c r="U44" s="124">
        <v>79</v>
      </c>
      <c r="V44" s="124" t="s">
        <v>97</v>
      </c>
      <c r="W44" s="131"/>
    </row>
    <row r="45" spans="1:23" ht="14.45">
      <c r="A45" s="108" t="s">
        <v>101</v>
      </c>
      <c r="B45" s="109" t="s">
        <v>45</v>
      </c>
      <c r="C45" s="109" t="s">
        <v>18</v>
      </c>
      <c r="D45" s="110" t="s">
        <v>70</v>
      </c>
      <c r="E45" s="110">
        <v>54</v>
      </c>
      <c r="F45" s="110">
        <v>85</v>
      </c>
      <c r="G45" s="110" t="str">
        <f t="shared" si="17"/>
        <v>7</v>
      </c>
      <c r="H45" s="118">
        <v>46084</v>
      </c>
      <c r="I45" s="110">
        <v>3.07</v>
      </c>
      <c r="J45" s="110">
        <v>22.7</v>
      </c>
      <c r="K45" s="119">
        <v>11.67</v>
      </c>
      <c r="L45" s="114">
        <f t="shared" si="2"/>
        <v>5.7183000000000002</v>
      </c>
      <c r="M45" s="115">
        <f t="shared" si="3"/>
        <v>8.7489989999999995</v>
      </c>
      <c r="N45" s="119">
        <v>412.3</v>
      </c>
      <c r="O45" s="119">
        <v>200</v>
      </c>
      <c r="P45" s="115">
        <f t="shared" si="1"/>
        <v>2.0615000000000001</v>
      </c>
      <c r="T45" s="123" t="s">
        <v>71</v>
      </c>
      <c r="U45" s="123">
        <v>45</v>
      </c>
      <c r="V45" s="123" t="s">
        <v>97</v>
      </c>
      <c r="W45" s="131"/>
    </row>
    <row r="46" spans="1:23" ht="14.45">
      <c r="A46" s="108" t="s">
        <v>102</v>
      </c>
      <c r="B46" s="109" t="s">
        <v>45</v>
      </c>
      <c r="C46" s="109" t="s">
        <v>18</v>
      </c>
      <c r="D46" s="110" t="s">
        <v>70</v>
      </c>
      <c r="E46" s="110">
        <v>54</v>
      </c>
      <c r="F46" s="110">
        <v>85</v>
      </c>
      <c r="G46" s="110" t="str">
        <f t="shared" si="17"/>
        <v>8</v>
      </c>
      <c r="H46" s="118">
        <v>46091</v>
      </c>
      <c r="I46" s="110">
        <v>3.05</v>
      </c>
      <c r="J46" s="110">
        <v>24.3</v>
      </c>
      <c r="K46" s="119">
        <v>10.92</v>
      </c>
      <c r="L46" s="114">
        <f t="shared" si="2"/>
        <v>5.3507999999999996</v>
      </c>
      <c r="M46" s="115">
        <f t="shared" si="3"/>
        <v>8.1867239999999999</v>
      </c>
      <c r="N46" s="119">
        <v>392.3</v>
      </c>
      <c r="O46" s="119">
        <v>200</v>
      </c>
      <c r="P46" s="115">
        <f t="shared" si="1"/>
        <v>1.9615</v>
      </c>
    </row>
    <row r="47" spans="1:23" ht="14.45">
      <c r="A47" s="108" t="s">
        <v>103</v>
      </c>
      <c r="B47" s="109" t="s">
        <v>45</v>
      </c>
      <c r="C47" s="109" t="s">
        <v>18</v>
      </c>
      <c r="D47" s="110" t="s">
        <v>70</v>
      </c>
      <c r="E47" s="110">
        <v>54</v>
      </c>
      <c r="F47" s="110">
        <v>85</v>
      </c>
      <c r="G47" s="110" t="str">
        <f t="shared" si="17"/>
        <v>9</v>
      </c>
      <c r="H47" s="118">
        <v>46098</v>
      </c>
      <c r="I47" s="110">
        <v>3.13</v>
      </c>
      <c r="J47" s="110">
        <v>25.5</v>
      </c>
      <c r="K47" s="119">
        <v>9.32</v>
      </c>
      <c r="L47" s="114">
        <f t="shared" si="2"/>
        <v>4.5667999999999997</v>
      </c>
      <c r="M47" s="115">
        <f t="shared" si="3"/>
        <v>6.9872039999999993</v>
      </c>
      <c r="N47" s="119">
        <v>396.2</v>
      </c>
      <c r="O47" s="119">
        <v>200</v>
      </c>
      <c r="P47" s="115">
        <f t="shared" si="1"/>
        <v>1.9809999999999999</v>
      </c>
    </row>
    <row r="48" spans="1:23" ht="14.45">
      <c r="A48" s="108" t="s">
        <v>104</v>
      </c>
      <c r="B48" s="109" t="s">
        <v>45</v>
      </c>
      <c r="C48" s="109" t="s">
        <v>18</v>
      </c>
      <c r="D48" s="110" t="s">
        <v>70</v>
      </c>
      <c r="E48" s="110">
        <v>54</v>
      </c>
      <c r="F48" s="110">
        <v>85</v>
      </c>
      <c r="G48" s="110" t="str">
        <f t="shared" si="17"/>
        <v>10</v>
      </c>
      <c r="H48" s="118" t="s">
        <v>84</v>
      </c>
      <c r="I48" s="110">
        <v>3.12</v>
      </c>
      <c r="J48" s="110">
        <v>25.7</v>
      </c>
      <c r="K48" s="119">
        <v>10.26</v>
      </c>
      <c r="L48" s="114">
        <f t="shared" ref="L48" si="18">K48*0.49</f>
        <v>5.0274000000000001</v>
      </c>
      <c r="M48" s="115">
        <f t="shared" ref="M48" si="19">L48*1.53</f>
        <v>7.6919219999999999</v>
      </c>
      <c r="N48" s="119">
        <v>402.4</v>
      </c>
      <c r="O48" s="119">
        <v>200</v>
      </c>
      <c r="P48" s="115">
        <f t="shared" si="1"/>
        <v>2.012</v>
      </c>
    </row>
    <row r="49" spans="1:17" ht="14.45">
      <c r="A49" s="108" t="s">
        <v>105</v>
      </c>
      <c r="B49" s="109" t="s">
        <v>45</v>
      </c>
      <c r="C49" s="109" t="s">
        <v>18</v>
      </c>
      <c r="D49" s="110" t="s">
        <v>70</v>
      </c>
      <c r="E49" s="110">
        <v>54</v>
      </c>
      <c r="F49" s="110">
        <v>85</v>
      </c>
      <c r="G49" s="110" t="str">
        <f t="shared" si="17"/>
        <v>11</v>
      </c>
      <c r="H49" s="118">
        <v>46112</v>
      </c>
      <c r="I49" s="110">
        <v>3.18</v>
      </c>
      <c r="J49" s="110">
        <v>25.8</v>
      </c>
      <c r="K49" s="119">
        <v>8.82</v>
      </c>
      <c r="L49" s="114">
        <f t="shared" ref="L49:L50" si="20">K49*0.49</f>
        <v>4.3217999999999996</v>
      </c>
      <c r="M49" s="115">
        <f t="shared" ref="M49:M50" si="21">L49*1.53</f>
        <v>6.6123539999999998</v>
      </c>
      <c r="N49" s="119">
        <v>390.5</v>
      </c>
      <c r="O49" s="119">
        <v>200</v>
      </c>
      <c r="P49" s="115">
        <f t="shared" si="1"/>
        <v>1.9524999999999999</v>
      </c>
    </row>
    <row r="50" spans="1:17" ht="14.45">
      <c r="A50" s="108" t="s">
        <v>106</v>
      </c>
      <c r="B50" s="109" t="s">
        <v>45</v>
      </c>
      <c r="C50" s="109" t="s">
        <v>18</v>
      </c>
      <c r="D50" s="110" t="s">
        <v>70</v>
      </c>
      <c r="E50" s="110">
        <v>54</v>
      </c>
      <c r="F50" s="110">
        <v>85</v>
      </c>
      <c r="G50" s="110" t="str">
        <f t="shared" si="17"/>
        <v>12</v>
      </c>
      <c r="H50" s="118">
        <v>46119</v>
      </c>
      <c r="I50" s="110">
        <v>3.14</v>
      </c>
      <c r="J50" s="110">
        <v>27.7</v>
      </c>
      <c r="K50" s="119">
        <v>9.57</v>
      </c>
      <c r="L50" s="114">
        <f t="shared" si="20"/>
        <v>4.6893000000000002</v>
      </c>
      <c r="M50" s="115">
        <f t="shared" si="21"/>
        <v>7.1746290000000004</v>
      </c>
      <c r="N50" s="119">
        <v>367.5</v>
      </c>
      <c r="O50" s="119">
        <v>200</v>
      </c>
      <c r="P50" s="115">
        <f t="shared" si="1"/>
        <v>1.8374999999999999</v>
      </c>
    </row>
    <row r="51" spans="1:17" ht="14.45">
      <c r="A51" s="108" t="s">
        <v>107</v>
      </c>
      <c r="B51" s="109" t="s">
        <v>45</v>
      </c>
      <c r="C51" s="109" t="s">
        <v>18</v>
      </c>
      <c r="D51" s="110" t="s">
        <v>70</v>
      </c>
      <c r="E51" s="110">
        <v>54</v>
      </c>
      <c r="F51" s="110">
        <v>85</v>
      </c>
      <c r="G51" s="110">
        <v>13</v>
      </c>
      <c r="H51" s="118">
        <v>46126</v>
      </c>
      <c r="I51" s="110">
        <v>3.48</v>
      </c>
      <c r="J51" s="110">
        <v>27.6</v>
      </c>
      <c r="K51" s="119">
        <v>5.93</v>
      </c>
      <c r="L51" s="114">
        <f t="shared" ref="L51" si="22">K51*0.49</f>
        <v>2.9056999999999999</v>
      </c>
      <c r="M51" s="115">
        <f t="shared" ref="M51" si="23">L51*1.53</f>
        <v>4.4457209999999998</v>
      </c>
      <c r="N51" s="119">
        <v>397.9</v>
      </c>
      <c r="O51" s="119">
        <v>200</v>
      </c>
      <c r="P51" s="115">
        <f t="shared" si="1"/>
        <v>1.9894999999999998</v>
      </c>
      <c r="Q51" t="s">
        <v>89</v>
      </c>
    </row>
    <row r="52" spans="1:17" ht="14.45">
      <c r="A52" s="108" t="s">
        <v>108</v>
      </c>
      <c r="B52" s="109" t="s">
        <v>45</v>
      </c>
      <c r="C52" s="109" t="s">
        <v>18</v>
      </c>
      <c r="D52" s="110" t="s">
        <v>70</v>
      </c>
      <c r="E52" s="110">
        <v>54</v>
      </c>
      <c r="F52" s="110">
        <v>85</v>
      </c>
      <c r="G52" s="110">
        <v>14</v>
      </c>
      <c r="H52" s="118">
        <v>46132</v>
      </c>
      <c r="I52" s="110">
        <v>3.21</v>
      </c>
      <c r="J52" s="110">
        <v>27.8</v>
      </c>
      <c r="K52" s="119">
        <v>9.17</v>
      </c>
      <c r="L52" s="114">
        <f t="shared" ref="L52" si="24">K52*0.49</f>
        <v>4.4932999999999996</v>
      </c>
      <c r="M52" s="115">
        <f t="shared" ref="M52" si="25">L52*1.53</f>
        <v>6.8747489999999996</v>
      </c>
      <c r="N52" s="119">
        <v>388</v>
      </c>
      <c r="O52" s="119">
        <v>200</v>
      </c>
      <c r="P52" s="115">
        <f t="shared" ref="P52" si="26">N52/O52</f>
        <v>1.94</v>
      </c>
    </row>
    <row r="53" spans="1:17" ht="14.45">
      <c r="A53" s="108" t="s">
        <v>109</v>
      </c>
      <c r="B53" s="109" t="s">
        <v>45</v>
      </c>
      <c r="C53" s="109" t="s">
        <v>110</v>
      </c>
      <c r="D53" s="110" t="s">
        <v>111</v>
      </c>
      <c r="E53" s="110">
        <v>4</v>
      </c>
      <c r="F53" s="110">
        <v>180</v>
      </c>
      <c r="G53" s="110" t="str">
        <f t="shared" ref="G53:G63" si="27">_xlfn.TEXTAFTER(A53, "-", 2)</f>
        <v>1</v>
      </c>
      <c r="H53" s="118">
        <v>46045</v>
      </c>
      <c r="I53" s="110">
        <v>2.89</v>
      </c>
      <c r="J53" s="110">
        <v>9.1</v>
      </c>
      <c r="K53" s="119">
        <v>34.04</v>
      </c>
      <c r="L53" s="114">
        <f t="shared" si="2"/>
        <v>16.679600000000001</v>
      </c>
      <c r="M53" s="115">
        <f t="shared" si="3"/>
        <v>25.519788000000002</v>
      </c>
      <c r="N53" s="119">
        <v>259.66000000000003</v>
      </c>
      <c r="O53" s="119">
        <v>200</v>
      </c>
      <c r="P53" s="115">
        <f t="shared" si="1"/>
        <v>1.2983000000000002</v>
      </c>
    </row>
    <row r="54" spans="1:17" ht="14.45">
      <c r="A54" s="108" t="s">
        <v>112</v>
      </c>
      <c r="B54" s="109" t="s">
        <v>45</v>
      </c>
      <c r="C54" s="109" t="s">
        <v>110</v>
      </c>
      <c r="D54" s="110" t="s">
        <v>111</v>
      </c>
      <c r="E54" s="110">
        <v>4</v>
      </c>
      <c r="F54" s="110">
        <v>180</v>
      </c>
      <c r="G54" s="110" t="str">
        <f t="shared" si="27"/>
        <v>2</v>
      </c>
      <c r="H54" s="118">
        <v>46051</v>
      </c>
      <c r="I54" s="110">
        <v>2.75</v>
      </c>
      <c r="J54" s="110">
        <v>11.2</v>
      </c>
      <c r="K54" s="119">
        <v>16.98</v>
      </c>
      <c r="L54" s="114">
        <f t="shared" si="2"/>
        <v>8.3201999999999998</v>
      </c>
      <c r="M54" s="115">
        <f t="shared" si="3"/>
        <v>12.729906</v>
      </c>
      <c r="N54" s="119">
        <v>288.58</v>
      </c>
      <c r="O54" s="119">
        <v>200</v>
      </c>
      <c r="P54" s="115">
        <f t="shared" si="1"/>
        <v>1.4428999999999998</v>
      </c>
    </row>
    <row r="55" spans="1:17" ht="14.45">
      <c r="A55" s="108" t="s">
        <v>113</v>
      </c>
      <c r="B55" s="109" t="s">
        <v>45</v>
      </c>
      <c r="C55" s="109" t="s">
        <v>110</v>
      </c>
      <c r="D55" s="110" t="s">
        <v>111</v>
      </c>
      <c r="E55" s="110">
        <v>4</v>
      </c>
      <c r="F55" s="110">
        <v>180</v>
      </c>
      <c r="G55" s="110" t="str">
        <f t="shared" si="27"/>
        <v>3</v>
      </c>
      <c r="H55" s="118">
        <v>46058</v>
      </c>
      <c r="I55" s="110">
        <v>2.86</v>
      </c>
      <c r="J55" s="110">
        <v>13.5</v>
      </c>
      <c r="K55" s="119">
        <v>25</v>
      </c>
      <c r="L55" s="114">
        <f t="shared" si="2"/>
        <v>12.25</v>
      </c>
      <c r="M55" s="115">
        <f t="shared" si="3"/>
        <v>18.7425</v>
      </c>
      <c r="N55" s="119">
        <v>352.7</v>
      </c>
      <c r="O55" s="119">
        <v>200</v>
      </c>
      <c r="P55" s="115">
        <f t="shared" si="1"/>
        <v>1.7634999999999998</v>
      </c>
    </row>
    <row r="56" spans="1:17" ht="14.45">
      <c r="A56" s="108" t="s">
        <v>114</v>
      </c>
      <c r="B56" s="109" t="s">
        <v>45</v>
      </c>
      <c r="C56" s="109" t="s">
        <v>110</v>
      </c>
      <c r="D56" s="110" t="s">
        <v>111</v>
      </c>
      <c r="E56" s="110">
        <v>4</v>
      </c>
      <c r="F56" s="110">
        <v>180</v>
      </c>
      <c r="G56" s="110" t="str">
        <f t="shared" si="27"/>
        <v>4</v>
      </c>
      <c r="H56" s="118">
        <v>46065</v>
      </c>
      <c r="I56" s="110">
        <v>2.92</v>
      </c>
      <c r="J56" s="110">
        <v>15.4</v>
      </c>
      <c r="K56" s="119">
        <v>19.86</v>
      </c>
      <c r="L56" s="114">
        <f t="shared" si="2"/>
        <v>9.7313999999999989</v>
      </c>
      <c r="M56" s="115">
        <f t="shared" si="3"/>
        <v>14.889041999999998</v>
      </c>
      <c r="N56" s="119">
        <v>367.2</v>
      </c>
      <c r="O56" s="119">
        <v>200</v>
      </c>
      <c r="P56" s="115">
        <f t="shared" si="1"/>
        <v>1.8359999999999999</v>
      </c>
    </row>
    <row r="57" spans="1:17" ht="14.45">
      <c r="A57" s="108" t="s">
        <v>115</v>
      </c>
      <c r="B57" s="109" t="s">
        <v>45</v>
      </c>
      <c r="C57" s="109" t="s">
        <v>110</v>
      </c>
      <c r="D57" s="110" t="s">
        <v>111</v>
      </c>
      <c r="E57" s="110">
        <v>4</v>
      </c>
      <c r="F57" s="110">
        <v>180</v>
      </c>
      <c r="G57" s="110" t="str">
        <f t="shared" si="27"/>
        <v>5</v>
      </c>
      <c r="H57" s="118">
        <v>46072</v>
      </c>
      <c r="I57" s="110">
        <v>3.14</v>
      </c>
      <c r="J57" s="110">
        <v>17.600000000000001</v>
      </c>
      <c r="K57" s="119">
        <v>14.82</v>
      </c>
      <c r="L57" s="114">
        <f t="shared" si="2"/>
        <v>7.2618</v>
      </c>
      <c r="M57" s="115">
        <f t="shared" si="3"/>
        <v>11.110554</v>
      </c>
      <c r="N57" s="119">
        <v>381</v>
      </c>
      <c r="O57" s="119">
        <v>200</v>
      </c>
      <c r="P57" s="115">
        <f t="shared" si="1"/>
        <v>1.905</v>
      </c>
    </row>
    <row r="58" spans="1:17" ht="14.45">
      <c r="A58" s="108" t="s">
        <v>116</v>
      </c>
      <c r="B58" s="109" t="s">
        <v>45</v>
      </c>
      <c r="C58" s="109" t="s">
        <v>110</v>
      </c>
      <c r="D58" s="110" t="s">
        <v>111</v>
      </c>
      <c r="E58" s="110">
        <v>4</v>
      </c>
      <c r="F58" s="110">
        <v>180</v>
      </c>
      <c r="G58" s="110" t="str">
        <f t="shared" si="27"/>
        <v>6</v>
      </c>
      <c r="H58" s="118">
        <v>46079</v>
      </c>
      <c r="I58" s="110">
        <v>3.06</v>
      </c>
      <c r="J58" s="110">
        <v>19.100000000000001</v>
      </c>
      <c r="K58" s="119">
        <v>13.1</v>
      </c>
      <c r="L58" s="114">
        <f t="shared" si="2"/>
        <v>6.4189999999999996</v>
      </c>
      <c r="M58" s="115">
        <f t="shared" si="3"/>
        <v>9.8210699999999989</v>
      </c>
      <c r="N58" s="119">
        <v>394.9</v>
      </c>
      <c r="O58" s="119">
        <v>200</v>
      </c>
      <c r="P58" s="115">
        <f t="shared" si="1"/>
        <v>1.9744999999999999</v>
      </c>
    </row>
    <row r="59" spans="1:17" ht="14.45">
      <c r="A59" s="108" t="s">
        <v>117</v>
      </c>
      <c r="B59" s="109" t="s">
        <v>45</v>
      </c>
      <c r="C59" s="109" t="s">
        <v>110</v>
      </c>
      <c r="D59" s="110" t="s">
        <v>111</v>
      </c>
      <c r="E59" s="110">
        <v>4</v>
      </c>
      <c r="F59" s="110">
        <v>180</v>
      </c>
      <c r="G59" s="110" t="str">
        <f t="shared" si="27"/>
        <v>7</v>
      </c>
      <c r="H59" s="118">
        <v>46086</v>
      </c>
      <c r="I59" s="110">
        <v>3.01</v>
      </c>
      <c r="J59" s="110">
        <v>19.3</v>
      </c>
      <c r="K59" s="119">
        <v>13.03</v>
      </c>
      <c r="L59" s="114">
        <f t="shared" si="2"/>
        <v>6.3846999999999996</v>
      </c>
      <c r="M59" s="115">
        <f t="shared" si="3"/>
        <v>9.7685909999999989</v>
      </c>
      <c r="N59" s="119">
        <v>408.6</v>
      </c>
      <c r="O59" s="119">
        <v>200</v>
      </c>
      <c r="P59" s="115">
        <f t="shared" si="1"/>
        <v>2.0430000000000001</v>
      </c>
    </row>
    <row r="60" spans="1:17" ht="14.45">
      <c r="A60" s="108" t="s">
        <v>118</v>
      </c>
      <c r="B60" s="109" t="s">
        <v>45</v>
      </c>
      <c r="C60" s="109" t="s">
        <v>110</v>
      </c>
      <c r="D60" s="110" t="s">
        <v>111</v>
      </c>
      <c r="E60" s="110">
        <v>4</v>
      </c>
      <c r="F60" s="110">
        <v>180</v>
      </c>
      <c r="G60" s="110" t="str">
        <f t="shared" si="27"/>
        <v>8</v>
      </c>
      <c r="H60" s="118">
        <v>46094</v>
      </c>
      <c r="I60" s="110">
        <v>3.28</v>
      </c>
      <c r="J60" s="110">
        <v>21.1</v>
      </c>
      <c r="K60" s="119">
        <v>7.34</v>
      </c>
      <c r="L60" s="114">
        <f t="shared" si="2"/>
        <v>3.5966</v>
      </c>
      <c r="M60" s="115">
        <f t="shared" si="3"/>
        <v>5.5027980000000003</v>
      </c>
      <c r="N60" s="119">
        <v>400.4</v>
      </c>
      <c r="O60" s="119">
        <v>200</v>
      </c>
      <c r="P60" s="115">
        <f t="shared" si="1"/>
        <v>2.0019999999999998</v>
      </c>
      <c r="Q60" t="s">
        <v>89</v>
      </c>
    </row>
    <row r="61" spans="1:17" ht="14.45">
      <c r="A61" s="108" t="s">
        <v>119</v>
      </c>
      <c r="B61" s="109" t="s">
        <v>45</v>
      </c>
      <c r="C61" s="109" t="s">
        <v>110</v>
      </c>
      <c r="D61" s="110" t="s">
        <v>111</v>
      </c>
      <c r="E61" s="110">
        <v>4</v>
      </c>
      <c r="F61" s="110">
        <v>180</v>
      </c>
      <c r="G61" s="110" t="str">
        <f t="shared" si="27"/>
        <v>9</v>
      </c>
      <c r="H61" s="118">
        <v>46100</v>
      </c>
      <c r="I61" s="110">
        <v>3.09</v>
      </c>
      <c r="J61" s="110">
        <v>20.8</v>
      </c>
      <c r="K61" s="119">
        <v>10.64</v>
      </c>
      <c r="L61" s="114">
        <f t="shared" si="2"/>
        <v>5.2136000000000005</v>
      </c>
      <c r="M61" s="115">
        <f t="shared" si="3"/>
        <v>7.976808000000001</v>
      </c>
      <c r="N61" s="119">
        <v>390</v>
      </c>
      <c r="O61" s="119">
        <v>200</v>
      </c>
      <c r="P61" s="115">
        <f t="shared" si="1"/>
        <v>1.95</v>
      </c>
    </row>
    <row r="62" spans="1:17" ht="14.45">
      <c r="A62" s="108" t="s">
        <v>120</v>
      </c>
      <c r="B62" s="109" t="s">
        <v>45</v>
      </c>
      <c r="C62" s="109" t="s">
        <v>110</v>
      </c>
      <c r="D62" s="110" t="s">
        <v>111</v>
      </c>
      <c r="E62" s="110">
        <v>4</v>
      </c>
      <c r="F62" s="110">
        <v>180</v>
      </c>
      <c r="G62" s="110" t="str">
        <f t="shared" si="27"/>
        <v>10</v>
      </c>
      <c r="H62" s="118" t="s">
        <v>84</v>
      </c>
      <c r="I62" s="110">
        <v>2.86</v>
      </c>
      <c r="J62" s="110">
        <v>18.7</v>
      </c>
      <c r="K62" s="119">
        <v>11.44</v>
      </c>
      <c r="L62" s="114">
        <f t="shared" ref="L62:L63" si="28">K62*0.49</f>
        <v>5.6055999999999999</v>
      </c>
      <c r="M62" s="115">
        <f t="shared" ref="M62:M63" si="29">L62*1.53</f>
        <v>8.576568</v>
      </c>
      <c r="N62" s="119">
        <v>370.9</v>
      </c>
      <c r="O62" s="119">
        <v>200</v>
      </c>
      <c r="P62" s="115">
        <f t="shared" si="1"/>
        <v>1.8544999999999998</v>
      </c>
    </row>
    <row r="63" spans="1:17" ht="14.45">
      <c r="A63" s="108" t="s">
        <v>121</v>
      </c>
      <c r="B63" s="109" t="s">
        <v>45</v>
      </c>
      <c r="C63" s="109" t="s">
        <v>110</v>
      </c>
      <c r="D63" s="110" t="s">
        <v>111</v>
      </c>
      <c r="E63" s="110">
        <v>4</v>
      </c>
      <c r="F63" s="110">
        <v>180</v>
      </c>
      <c r="G63" s="110" t="str">
        <f t="shared" si="27"/>
        <v>11</v>
      </c>
      <c r="H63" s="118">
        <v>46114</v>
      </c>
      <c r="I63" s="110">
        <v>2.97</v>
      </c>
      <c r="J63" s="110">
        <v>21.7</v>
      </c>
      <c r="K63" s="119">
        <v>11.02</v>
      </c>
      <c r="L63" s="114">
        <f t="shared" si="28"/>
        <v>5.3997999999999999</v>
      </c>
      <c r="M63" s="115">
        <f t="shared" si="29"/>
        <v>8.2616940000000003</v>
      </c>
      <c r="N63" s="119">
        <v>391.2</v>
      </c>
      <c r="O63" s="119">
        <v>200</v>
      </c>
      <c r="P63" s="115">
        <f t="shared" si="1"/>
        <v>1.956</v>
      </c>
    </row>
    <row r="64" spans="1:17" ht="14.45">
      <c r="A64" s="108" t="s">
        <v>122</v>
      </c>
      <c r="B64" s="109" t="s">
        <v>45</v>
      </c>
      <c r="C64" s="109" t="s">
        <v>110</v>
      </c>
      <c r="D64" s="110" t="s">
        <v>111</v>
      </c>
      <c r="E64" s="110">
        <v>4</v>
      </c>
      <c r="F64" s="110">
        <v>180</v>
      </c>
      <c r="G64" s="110">
        <v>12</v>
      </c>
      <c r="H64" s="118">
        <v>46121</v>
      </c>
      <c r="I64" s="110">
        <v>2.97</v>
      </c>
      <c r="J64" s="110">
        <v>19.399999999999999</v>
      </c>
      <c r="K64" s="119">
        <v>10.69</v>
      </c>
      <c r="L64" s="114">
        <f t="shared" ref="L64" si="30">K64*0.49</f>
        <v>5.2380999999999993</v>
      </c>
      <c r="M64" s="115">
        <f t="shared" ref="M64" si="31">L64*1.53</f>
        <v>8.0142929999999986</v>
      </c>
      <c r="N64" s="119">
        <v>382.9</v>
      </c>
      <c r="O64" s="119">
        <v>200</v>
      </c>
      <c r="P64" s="115">
        <f t="shared" si="1"/>
        <v>1.9144999999999999</v>
      </c>
    </row>
    <row r="65" spans="1:16" ht="14.45">
      <c r="A65" s="108" t="s">
        <v>123</v>
      </c>
      <c r="B65" s="109" t="s">
        <v>45</v>
      </c>
      <c r="C65" s="109" t="s">
        <v>110</v>
      </c>
      <c r="D65" s="110" t="s">
        <v>111</v>
      </c>
      <c r="E65" s="110">
        <v>4</v>
      </c>
      <c r="F65" s="110">
        <v>180</v>
      </c>
      <c r="G65" s="110">
        <v>13</v>
      </c>
      <c r="H65" s="118">
        <v>46127</v>
      </c>
      <c r="I65" s="110">
        <v>3.07</v>
      </c>
      <c r="J65" s="110">
        <v>21.4</v>
      </c>
      <c r="K65" s="119">
        <v>10.52</v>
      </c>
      <c r="L65" s="114">
        <f t="shared" ref="L65" si="32">K65*0.49</f>
        <v>5.1547999999999998</v>
      </c>
      <c r="M65" s="115">
        <f t="shared" ref="M65" si="33">L65*1.53</f>
        <v>7.886844</v>
      </c>
      <c r="N65" s="119">
        <v>408.9</v>
      </c>
      <c r="O65" s="119">
        <v>200</v>
      </c>
      <c r="P65" s="115">
        <f t="shared" si="1"/>
        <v>2.0444999999999998</v>
      </c>
    </row>
    <row r="66" spans="1:16" ht="14.45">
      <c r="A66" s="108" t="s">
        <v>124</v>
      </c>
      <c r="B66" s="109" t="s">
        <v>45</v>
      </c>
      <c r="C66" s="109" t="s">
        <v>110</v>
      </c>
      <c r="D66" s="110" t="s">
        <v>125</v>
      </c>
      <c r="E66" s="110">
        <v>7</v>
      </c>
      <c r="F66" s="110">
        <v>9</v>
      </c>
      <c r="G66" s="110" t="str">
        <f t="shared" ref="G66:G76" si="34">_xlfn.TEXTAFTER(A66, "-", 2)</f>
        <v>1</v>
      </c>
      <c r="H66" s="118">
        <v>46044</v>
      </c>
      <c r="I66" s="110">
        <v>2.76</v>
      </c>
      <c r="J66" s="110">
        <v>13.6</v>
      </c>
      <c r="K66" s="119">
        <v>25.05</v>
      </c>
      <c r="L66" s="114">
        <f t="shared" si="2"/>
        <v>12.2745</v>
      </c>
      <c r="M66" s="115">
        <f t="shared" si="3"/>
        <v>18.779985</v>
      </c>
      <c r="N66" s="119">
        <v>185.93</v>
      </c>
      <c r="O66" s="119">
        <v>200</v>
      </c>
      <c r="P66" s="115">
        <f>N66/O66</f>
        <v>0.92965000000000009</v>
      </c>
    </row>
    <row r="67" spans="1:16" ht="14.45">
      <c r="A67" s="108" t="s">
        <v>126</v>
      </c>
      <c r="B67" s="109" t="s">
        <v>45</v>
      </c>
      <c r="C67" s="109" t="s">
        <v>110</v>
      </c>
      <c r="D67" s="110" t="s">
        <v>125</v>
      </c>
      <c r="E67" s="110">
        <v>7</v>
      </c>
      <c r="F67" s="110">
        <v>9</v>
      </c>
      <c r="G67" s="110" t="str">
        <f t="shared" si="34"/>
        <v>2</v>
      </c>
      <c r="H67" s="118">
        <v>46050</v>
      </c>
      <c r="I67" s="110">
        <v>3</v>
      </c>
      <c r="J67" s="110">
        <v>16.3</v>
      </c>
      <c r="K67" s="119">
        <v>12.4</v>
      </c>
      <c r="L67" s="114">
        <f t="shared" si="2"/>
        <v>6.0759999999999996</v>
      </c>
      <c r="M67" s="115">
        <f t="shared" si="3"/>
        <v>9.2962799999999994</v>
      </c>
      <c r="N67" s="119">
        <v>215.59</v>
      </c>
      <c r="O67" s="119">
        <v>200</v>
      </c>
      <c r="P67" s="115">
        <f t="shared" ref="P67:P77" si="35">N67/O67</f>
        <v>1.07795</v>
      </c>
    </row>
    <row r="68" spans="1:16" ht="14.45">
      <c r="A68" s="108" t="s">
        <v>127</v>
      </c>
      <c r="B68" s="109" t="s">
        <v>45</v>
      </c>
      <c r="C68" s="109" t="s">
        <v>110</v>
      </c>
      <c r="D68" s="110" t="s">
        <v>125</v>
      </c>
      <c r="E68" s="110">
        <v>7</v>
      </c>
      <c r="F68" s="110">
        <v>9</v>
      </c>
      <c r="G68" s="110" t="str">
        <f t="shared" si="34"/>
        <v>3</v>
      </c>
      <c r="H68" s="118">
        <v>46057</v>
      </c>
      <c r="I68" s="110">
        <v>3.07</v>
      </c>
      <c r="J68" s="110">
        <v>17.5</v>
      </c>
      <c r="K68" s="119">
        <v>10.48</v>
      </c>
      <c r="L68" s="114">
        <f t="shared" si="2"/>
        <v>5.1352000000000002</v>
      </c>
      <c r="M68" s="115">
        <f t="shared" si="3"/>
        <v>7.8568560000000005</v>
      </c>
      <c r="N68" s="119">
        <v>275.60000000000002</v>
      </c>
      <c r="O68" s="119">
        <v>200</v>
      </c>
      <c r="P68" s="115">
        <f t="shared" si="35"/>
        <v>1.3780000000000001</v>
      </c>
    </row>
    <row r="69" spans="1:16" ht="14.45">
      <c r="A69" s="108" t="s">
        <v>128</v>
      </c>
      <c r="B69" s="109" t="s">
        <v>45</v>
      </c>
      <c r="C69" s="109" t="s">
        <v>110</v>
      </c>
      <c r="D69" s="110" t="s">
        <v>125</v>
      </c>
      <c r="E69" s="110">
        <v>7</v>
      </c>
      <c r="F69" s="110">
        <v>9</v>
      </c>
      <c r="G69" s="110" t="str">
        <f t="shared" si="34"/>
        <v>4</v>
      </c>
      <c r="H69" s="118">
        <v>46064</v>
      </c>
      <c r="I69" s="110">
        <v>3.2</v>
      </c>
      <c r="J69" s="110">
        <v>19.399999999999999</v>
      </c>
      <c r="K69" s="119">
        <v>9.24</v>
      </c>
      <c r="L69" s="114">
        <f t="shared" si="2"/>
        <v>4.5275999999999996</v>
      </c>
      <c r="M69" s="115">
        <f t="shared" si="3"/>
        <v>6.9272279999999995</v>
      </c>
      <c r="N69" s="119">
        <v>285.3</v>
      </c>
      <c r="O69" s="119">
        <v>200</v>
      </c>
      <c r="P69" s="115">
        <f t="shared" si="35"/>
        <v>1.4265000000000001</v>
      </c>
    </row>
    <row r="70" spans="1:16" ht="14.45">
      <c r="A70" s="108" t="s">
        <v>129</v>
      </c>
      <c r="B70" s="109" t="s">
        <v>45</v>
      </c>
      <c r="C70" s="109" t="s">
        <v>110</v>
      </c>
      <c r="D70" s="110" t="s">
        <v>125</v>
      </c>
      <c r="E70" s="110">
        <v>7</v>
      </c>
      <c r="F70" s="110">
        <v>9</v>
      </c>
      <c r="G70" s="110" t="str">
        <f t="shared" si="34"/>
        <v>5</v>
      </c>
      <c r="H70" s="118">
        <v>46071</v>
      </c>
      <c r="I70" s="110">
        <v>3.28</v>
      </c>
      <c r="J70" s="110">
        <v>21.1</v>
      </c>
      <c r="K70" s="119">
        <v>7.22</v>
      </c>
      <c r="L70" s="114">
        <f t="shared" si="2"/>
        <v>3.5377999999999998</v>
      </c>
      <c r="M70" s="115">
        <f t="shared" si="3"/>
        <v>5.4128340000000001</v>
      </c>
      <c r="N70" s="119">
        <v>288.5</v>
      </c>
      <c r="O70" s="119">
        <v>200</v>
      </c>
      <c r="P70" s="115">
        <f t="shared" si="35"/>
        <v>1.4424999999999999</v>
      </c>
    </row>
    <row r="71" spans="1:16" ht="14.45">
      <c r="A71" s="108" t="s">
        <v>130</v>
      </c>
      <c r="B71" s="109" t="s">
        <v>45</v>
      </c>
      <c r="C71" s="109" t="s">
        <v>110</v>
      </c>
      <c r="D71" s="110" t="s">
        <v>125</v>
      </c>
      <c r="E71" s="110">
        <v>7</v>
      </c>
      <c r="F71" s="110">
        <v>9</v>
      </c>
      <c r="G71" s="110" t="str">
        <f t="shared" si="34"/>
        <v>6</v>
      </c>
      <c r="H71" s="118">
        <v>46078</v>
      </c>
      <c r="I71" s="110">
        <v>3.33</v>
      </c>
      <c r="J71" s="110">
        <v>23.4</v>
      </c>
      <c r="K71" s="119">
        <v>6.3</v>
      </c>
      <c r="L71" s="114">
        <f t="shared" si="2"/>
        <v>3.0869999999999997</v>
      </c>
      <c r="M71" s="115">
        <f t="shared" si="3"/>
        <v>4.7231099999999993</v>
      </c>
      <c r="N71" s="119">
        <v>261.10000000000002</v>
      </c>
      <c r="O71" s="119">
        <v>200</v>
      </c>
      <c r="P71" s="115">
        <f t="shared" si="35"/>
        <v>1.3055000000000001</v>
      </c>
    </row>
    <row r="72" spans="1:16" ht="14.45">
      <c r="A72" s="108" t="s">
        <v>131</v>
      </c>
      <c r="B72" s="109" t="s">
        <v>45</v>
      </c>
      <c r="C72" s="109" t="s">
        <v>110</v>
      </c>
      <c r="D72" s="110" t="s">
        <v>125</v>
      </c>
      <c r="E72" s="110">
        <v>7</v>
      </c>
      <c r="F72" s="110">
        <v>9</v>
      </c>
      <c r="G72" s="110" t="str">
        <f t="shared" si="34"/>
        <v>7</v>
      </c>
      <c r="H72" s="118">
        <v>46085</v>
      </c>
      <c r="I72" s="110">
        <v>3.41</v>
      </c>
      <c r="J72" s="110">
        <v>24.3</v>
      </c>
      <c r="K72" s="119">
        <v>6.28</v>
      </c>
      <c r="L72" s="114">
        <f t="shared" si="2"/>
        <v>3.0771999999999999</v>
      </c>
      <c r="M72" s="115">
        <f t="shared" si="3"/>
        <v>4.7081160000000004</v>
      </c>
      <c r="N72" s="119">
        <v>265.7</v>
      </c>
      <c r="O72" s="119">
        <v>200</v>
      </c>
      <c r="P72" s="115">
        <f t="shared" si="35"/>
        <v>1.3285</v>
      </c>
    </row>
    <row r="73" spans="1:16" ht="14.45">
      <c r="A73" s="108" t="s">
        <v>132</v>
      </c>
      <c r="B73" s="109" t="s">
        <v>45</v>
      </c>
      <c r="C73" s="109" t="s">
        <v>110</v>
      </c>
      <c r="D73" s="110" t="s">
        <v>125</v>
      </c>
      <c r="E73" s="110">
        <v>7</v>
      </c>
      <c r="F73" s="110">
        <v>9</v>
      </c>
      <c r="G73" s="110" t="str">
        <f t="shared" si="34"/>
        <v>8</v>
      </c>
      <c r="H73" s="118">
        <v>46092</v>
      </c>
      <c r="I73" s="110">
        <v>3.3</v>
      </c>
      <c r="J73" s="110">
        <v>24.9</v>
      </c>
      <c r="K73" s="119">
        <v>6.12</v>
      </c>
      <c r="L73" s="114">
        <f t="shared" si="2"/>
        <v>2.9988000000000001</v>
      </c>
      <c r="M73" s="115">
        <f t="shared" si="3"/>
        <v>4.5881639999999999</v>
      </c>
      <c r="N73" s="119">
        <v>246.3</v>
      </c>
      <c r="O73" s="119">
        <v>200</v>
      </c>
      <c r="P73" s="115">
        <f t="shared" si="35"/>
        <v>1.2315</v>
      </c>
    </row>
    <row r="74" spans="1:16" ht="14.45">
      <c r="A74" s="108" t="s">
        <v>133</v>
      </c>
      <c r="B74" s="109" t="s">
        <v>45</v>
      </c>
      <c r="C74" s="109" t="s">
        <v>110</v>
      </c>
      <c r="D74" s="110" t="s">
        <v>125</v>
      </c>
      <c r="E74" s="110">
        <v>7</v>
      </c>
      <c r="F74" s="110">
        <v>9</v>
      </c>
      <c r="G74" s="110" t="str">
        <f t="shared" si="34"/>
        <v>9</v>
      </c>
      <c r="H74" s="118">
        <v>46099</v>
      </c>
      <c r="I74" s="110">
        <v>3.45</v>
      </c>
      <c r="J74" s="110">
        <v>25.8</v>
      </c>
      <c r="K74" s="119">
        <v>4.8</v>
      </c>
      <c r="L74" s="114">
        <f t="shared" si="2"/>
        <v>2.3519999999999999</v>
      </c>
      <c r="M74" s="115">
        <f t="shared" si="3"/>
        <v>3.59856</v>
      </c>
      <c r="N74" s="119">
        <v>215.6</v>
      </c>
      <c r="O74" s="119">
        <v>200</v>
      </c>
      <c r="P74" s="115">
        <f t="shared" si="35"/>
        <v>1.0780000000000001</v>
      </c>
    </row>
    <row r="75" spans="1:16" ht="14.45">
      <c r="A75" s="108" t="s">
        <v>134</v>
      </c>
      <c r="B75" s="109" t="s">
        <v>45</v>
      </c>
      <c r="C75" s="109" t="s">
        <v>110</v>
      </c>
      <c r="D75" s="110" t="s">
        <v>125</v>
      </c>
      <c r="E75" s="110">
        <v>7</v>
      </c>
      <c r="F75" s="110">
        <v>9</v>
      </c>
      <c r="G75" s="110" t="str">
        <f t="shared" si="34"/>
        <v>10</v>
      </c>
      <c r="H75" s="118">
        <v>46105</v>
      </c>
      <c r="I75" s="110">
        <v>3.57</v>
      </c>
      <c r="J75" s="110">
        <v>25.4</v>
      </c>
      <c r="K75" s="119">
        <v>4.26</v>
      </c>
      <c r="L75" s="114">
        <f t="shared" ref="L75:L76" si="36">K75*0.49</f>
        <v>2.0873999999999997</v>
      </c>
      <c r="M75" s="115">
        <f t="shared" ref="M75:M76" si="37">L75*1.53</f>
        <v>3.1937219999999997</v>
      </c>
      <c r="N75" s="119">
        <v>305.8</v>
      </c>
      <c r="O75" s="119">
        <v>200</v>
      </c>
      <c r="P75" s="115">
        <f t="shared" si="35"/>
        <v>1.5290000000000001</v>
      </c>
    </row>
    <row r="76" spans="1:16" ht="14.45">
      <c r="A76" s="108" t="s">
        <v>135</v>
      </c>
      <c r="B76" s="109" t="s">
        <v>45</v>
      </c>
      <c r="C76" s="109" t="s">
        <v>110</v>
      </c>
      <c r="D76" s="110" t="s">
        <v>125</v>
      </c>
      <c r="E76" s="110">
        <v>7</v>
      </c>
      <c r="F76" s="110">
        <v>9</v>
      </c>
      <c r="G76" s="110" t="str">
        <f t="shared" si="34"/>
        <v>11</v>
      </c>
      <c r="H76" s="118">
        <v>46113</v>
      </c>
      <c r="I76" s="110">
        <v>3.32</v>
      </c>
      <c r="J76" s="110">
        <v>26</v>
      </c>
      <c r="K76" s="119">
        <v>5.39</v>
      </c>
      <c r="L76" s="114">
        <f t="shared" si="36"/>
        <v>2.6410999999999998</v>
      </c>
      <c r="M76" s="115">
        <f t="shared" si="37"/>
        <v>4.040883</v>
      </c>
      <c r="N76" s="119">
        <v>235.6</v>
      </c>
      <c r="O76" s="119">
        <v>200</v>
      </c>
      <c r="P76" s="115">
        <f t="shared" si="35"/>
        <v>1.1779999999999999</v>
      </c>
    </row>
    <row r="77" spans="1:16" ht="14.45">
      <c r="A77" s="108" t="s">
        <v>136</v>
      </c>
      <c r="B77" s="109" t="s">
        <v>45</v>
      </c>
      <c r="C77" s="109" t="s">
        <v>110</v>
      </c>
      <c r="D77" s="110" t="s">
        <v>125</v>
      </c>
      <c r="E77" s="110">
        <v>7</v>
      </c>
      <c r="F77" s="110">
        <v>9</v>
      </c>
      <c r="G77" s="110">
        <v>12</v>
      </c>
      <c r="H77" s="118">
        <v>46120</v>
      </c>
      <c r="I77" s="110">
        <v>3.46</v>
      </c>
      <c r="J77" s="110">
        <v>25.8</v>
      </c>
      <c r="K77" s="119">
        <v>5.66</v>
      </c>
      <c r="L77" s="114">
        <f t="shared" ref="L77" si="38">K77*0.49</f>
        <v>2.7734000000000001</v>
      </c>
      <c r="M77" s="115">
        <f t="shared" ref="M77" si="39">L77*1.53</f>
        <v>4.2433019999999999</v>
      </c>
      <c r="N77" s="119">
        <v>248</v>
      </c>
      <c r="O77" s="119">
        <v>200</v>
      </c>
      <c r="P77" s="115">
        <f t="shared" si="35"/>
        <v>1.24</v>
      </c>
    </row>
    <row r="78" spans="1:16" ht="14.45">
      <c r="A78" s="108" t="s">
        <v>137</v>
      </c>
      <c r="B78" s="109" t="s">
        <v>45</v>
      </c>
      <c r="C78" s="109" t="s">
        <v>138</v>
      </c>
      <c r="D78" s="110" t="s">
        <v>139</v>
      </c>
      <c r="E78" s="110">
        <v>27</v>
      </c>
      <c r="F78" s="110" t="s">
        <v>140</v>
      </c>
      <c r="G78" s="110" t="str">
        <f t="shared" ref="G78:G89" si="40">_xlfn.TEXTAFTER(A78, "-", 2)</f>
        <v>1</v>
      </c>
      <c r="H78" s="118">
        <v>46042</v>
      </c>
      <c r="I78" s="110">
        <v>2.67</v>
      </c>
      <c r="J78" s="110">
        <v>12.7</v>
      </c>
      <c r="K78" s="119">
        <v>34.96</v>
      </c>
      <c r="L78" s="114">
        <f>K78*0.49</f>
        <v>17.130400000000002</v>
      </c>
      <c r="M78" s="115">
        <f>L78*1.53</f>
        <v>26.209512000000004</v>
      </c>
      <c r="N78" s="119">
        <v>253.44</v>
      </c>
      <c r="O78" s="119">
        <v>200</v>
      </c>
      <c r="P78" s="120">
        <f>N78/O78</f>
        <v>1.2671999999999999</v>
      </c>
    </row>
    <row r="79" spans="1:16" ht="14.45">
      <c r="A79" s="108" t="s">
        <v>141</v>
      </c>
      <c r="B79" s="109" t="s">
        <v>45</v>
      </c>
      <c r="C79" s="109" t="s">
        <v>138</v>
      </c>
      <c r="D79" s="110" t="s">
        <v>139</v>
      </c>
      <c r="E79" s="110">
        <v>27</v>
      </c>
      <c r="F79" s="110" t="s">
        <v>140</v>
      </c>
      <c r="G79" s="110" t="str">
        <f t="shared" si="40"/>
        <v>2</v>
      </c>
      <c r="H79" s="118">
        <v>46048</v>
      </c>
      <c r="I79" s="110">
        <v>2.88</v>
      </c>
      <c r="J79" s="110">
        <v>16.5</v>
      </c>
      <c r="K79" s="119">
        <v>24.1</v>
      </c>
      <c r="L79" s="114">
        <f t="shared" ref="L79:L139" si="41">K79*0.49</f>
        <v>11.809000000000001</v>
      </c>
      <c r="M79" s="115">
        <f t="shared" ref="M79:M139" si="42">L79*1.53</f>
        <v>18.067770000000003</v>
      </c>
      <c r="N79" s="119">
        <v>300.13</v>
      </c>
      <c r="O79" s="119">
        <v>200</v>
      </c>
      <c r="P79" s="120">
        <f t="shared" ref="P79:P91" si="43">N79/O79</f>
        <v>1.50065</v>
      </c>
    </row>
    <row r="80" spans="1:16" ht="14.45">
      <c r="A80" s="108" t="s">
        <v>142</v>
      </c>
      <c r="B80" s="109" t="s">
        <v>45</v>
      </c>
      <c r="C80" s="109" t="s">
        <v>138</v>
      </c>
      <c r="D80" s="110" t="s">
        <v>139</v>
      </c>
      <c r="E80" s="110">
        <v>27</v>
      </c>
      <c r="F80" s="110" t="s">
        <v>140</v>
      </c>
      <c r="G80" s="110" t="str">
        <f t="shared" si="40"/>
        <v>3</v>
      </c>
      <c r="H80" s="118">
        <v>46055</v>
      </c>
      <c r="I80" s="110">
        <v>3.01</v>
      </c>
      <c r="J80" s="110">
        <v>18.399999999999999</v>
      </c>
      <c r="K80" s="119">
        <v>20.14</v>
      </c>
      <c r="L80" s="114">
        <f t="shared" si="41"/>
        <v>9.8686000000000007</v>
      </c>
      <c r="M80" s="115">
        <f t="shared" si="42"/>
        <v>15.098958000000001</v>
      </c>
      <c r="N80" s="119">
        <v>310.20999999999998</v>
      </c>
      <c r="O80" s="119">
        <v>200</v>
      </c>
      <c r="P80" s="120">
        <f t="shared" si="43"/>
        <v>1.5510499999999998</v>
      </c>
    </row>
    <row r="81" spans="1:17" ht="14.45">
      <c r="A81" s="108" t="s">
        <v>143</v>
      </c>
      <c r="B81" s="109" t="s">
        <v>45</v>
      </c>
      <c r="C81" s="109" t="s">
        <v>138</v>
      </c>
      <c r="D81" s="110" t="s">
        <v>139</v>
      </c>
      <c r="E81" s="110">
        <v>27</v>
      </c>
      <c r="F81" s="110" t="s">
        <v>140</v>
      </c>
      <c r="G81" s="110" t="str">
        <f t="shared" si="40"/>
        <v>4</v>
      </c>
      <c r="H81" s="118">
        <v>46062</v>
      </c>
      <c r="I81" s="110">
        <v>3.12</v>
      </c>
      <c r="J81" s="110">
        <v>19.899999999999999</v>
      </c>
      <c r="K81" s="119">
        <v>14.84</v>
      </c>
      <c r="L81" s="114">
        <f t="shared" si="41"/>
        <v>7.2715999999999994</v>
      </c>
      <c r="M81" s="115">
        <f t="shared" si="42"/>
        <v>11.125547999999998</v>
      </c>
      <c r="N81" s="119">
        <v>343.7</v>
      </c>
      <c r="O81" s="119">
        <v>200</v>
      </c>
      <c r="P81" s="120">
        <f t="shared" si="43"/>
        <v>1.7184999999999999</v>
      </c>
    </row>
    <row r="82" spans="1:17" ht="14.45">
      <c r="A82" s="108" t="s">
        <v>144</v>
      </c>
      <c r="B82" s="109" t="s">
        <v>45</v>
      </c>
      <c r="C82" s="109" t="s">
        <v>138</v>
      </c>
      <c r="D82" s="110" t="s">
        <v>139</v>
      </c>
      <c r="E82" s="110">
        <v>27</v>
      </c>
      <c r="F82" s="110" t="s">
        <v>140</v>
      </c>
      <c r="G82" s="110" t="str">
        <f t="shared" si="40"/>
        <v>5</v>
      </c>
      <c r="H82" s="118">
        <v>46069</v>
      </c>
      <c r="I82" s="110">
        <v>3.2</v>
      </c>
      <c r="J82" s="110">
        <v>23.7</v>
      </c>
      <c r="K82" s="119">
        <v>12.5</v>
      </c>
      <c r="L82" s="114">
        <f t="shared" si="41"/>
        <v>6.125</v>
      </c>
      <c r="M82" s="115">
        <f t="shared" si="42"/>
        <v>9.3712499999999999</v>
      </c>
      <c r="N82" s="119">
        <v>353.6</v>
      </c>
      <c r="O82" s="119">
        <v>200</v>
      </c>
      <c r="P82" s="120">
        <f t="shared" si="43"/>
        <v>1.768</v>
      </c>
    </row>
    <row r="83" spans="1:17" ht="14.45">
      <c r="A83" s="108" t="s">
        <v>145</v>
      </c>
      <c r="B83" s="109" t="s">
        <v>45</v>
      </c>
      <c r="C83" s="109" t="s">
        <v>138</v>
      </c>
      <c r="D83" s="110" t="s">
        <v>139</v>
      </c>
      <c r="E83" s="110">
        <v>27</v>
      </c>
      <c r="F83" s="110" t="s">
        <v>140</v>
      </c>
      <c r="G83" s="110" t="str">
        <f t="shared" si="40"/>
        <v>6</v>
      </c>
      <c r="H83" s="118">
        <v>46076</v>
      </c>
      <c r="I83" s="110">
        <v>3.32</v>
      </c>
      <c r="J83" s="110">
        <v>25.1</v>
      </c>
      <c r="K83" s="119">
        <v>10.76</v>
      </c>
      <c r="L83" s="114">
        <f t="shared" si="41"/>
        <v>5.2724000000000002</v>
      </c>
      <c r="M83" s="115">
        <f t="shared" si="42"/>
        <v>8.0667720000000003</v>
      </c>
      <c r="N83" s="119">
        <v>351.5</v>
      </c>
      <c r="O83" s="119">
        <v>200</v>
      </c>
      <c r="P83" s="120">
        <f t="shared" si="43"/>
        <v>1.7575000000000001</v>
      </c>
    </row>
    <row r="84" spans="1:17" ht="14.45">
      <c r="A84" s="108" t="s">
        <v>146</v>
      </c>
      <c r="B84" s="109" t="s">
        <v>45</v>
      </c>
      <c r="C84" s="109" t="s">
        <v>138</v>
      </c>
      <c r="D84" s="110" t="s">
        <v>139</v>
      </c>
      <c r="E84" s="110">
        <v>27</v>
      </c>
      <c r="F84" s="110" t="s">
        <v>140</v>
      </c>
      <c r="G84" s="110" t="str">
        <f t="shared" si="40"/>
        <v>7</v>
      </c>
      <c r="H84" s="118">
        <v>46083</v>
      </c>
      <c r="I84" s="110">
        <v>3.37</v>
      </c>
      <c r="J84" s="110">
        <v>26.3</v>
      </c>
      <c r="K84" s="119">
        <v>10.130000000000001</v>
      </c>
      <c r="L84" s="114">
        <f t="shared" si="41"/>
        <v>4.9637000000000002</v>
      </c>
      <c r="M84" s="115">
        <f t="shared" si="42"/>
        <v>7.5944610000000008</v>
      </c>
      <c r="N84" s="119">
        <v>353.6</v>
      </c>
      <c r="O84" s="119">
        <v>200</v>
      </c>
      <c r="P84" s="120">
        <f t="shared" si="43"/>
        <v>1.768</v>
      </c>
    </row>
    <row r="85" spans="1:17" ht="14.45">
      <c r="A85" s="108" t="s">
        <v>147</v>
      </c>
      <c r="B85" s="109" t="s">
        <v>45</v>
      </c>
      <c r="C85" s="109" t="s">
        <v>138</v>
      </c>
      <c r="D85" s="110" t="s">
        <v>139</v>
      </c>
      <c r="E85" s="110">
        <v>27</v>
      </c>
      <c r="F85" s="110" t="s">
        <v>140</v>
      </c>
      <c r="G85" s="110" t="str">
        <f t="shared" si="40"/>
        <v>8</v>
      </c>
      <c r="H85" s="118">
        <v>46090</v>
      </c>
      <c r="I85" s="110">
        <v>3.38</v>
      </c>
      <c r="J85" s="110">
        <v>27.9</v>
      </c>
      <c r="K85" s="119">
        <v>9.83</v>
      </c>
      <c r="L85" s="114">
        <f t="shared" si="41"/>
        <v>4.8167</v>
      </c>
      <c r="M85" s="115">
        <f t="shared" si="42"/>
        <v>7.3695510000000004</v>
      </c>
      <c r="N85" s="119">
        <v>331.4</v>
      </c>
      <c r="O85" s="119">
        <v>200</v>
      </c>
      <c r="P85" s="120">
        <f t="shared" si="43"/>
        <v>1.6569999999999998</v>
      </c>
    </row>
    <row r="86" spans="1:17" ht="14.45">
      <c r="A86" s="108" t="s">
        <v>148</v>
      </c>
      <c r="B86" s="109" t="s">
        <v>45</v>
      </c>
      <c r="C86" s="109" t="s">
        <v>138</v>
      </c>
      <c r="D86" s="110" t="s">
        <v>139</v>
      </c>
      <c r="E86" s="110">
        <v>27</v>
      </c>
      <c r="F86" s="110" t="s">
        <v>140</v>
      </c>
      <c r="G86" s="110" t="str">
        <f t="shared" si="40"/>
        <v>9</v>
      </c>
      <c r="H86" s="118">
        <v>46097</v>
      </c>
      <c r="I86" s="110">
        <v>3.46</v>
      </c>
      <c r="J86" s="110">
        <v>28.7</v>
      </c>
      <c r="K86" s="119">
        <v>9.49</v>
      </c>
      <c r="L86" s="114">
        <f t="shared" si="41"/>
        <v>4.6501000000000001</v>
      </c>
      <c r="M86" s="115">
        <f t="shared" si="42"/>
        <v>7.1146530000000006</v>
      </c>
      <c r="N86" s="119">
        <v>343.5</v>
      </c>
      <c r="O86" s="119">
        <v>200</v>
      </c>
      <c r="P86" s="120">
        <f t="shared" si="43"/>
        <v>1.7175</v>
      </c>
    </row>
    <row r="87" spans="1:17" ht="14.45">
      <c r="A87" s="108" t="s">
        <v>149</v>
      </c>
      <c r="B87" s="109" t="s">
        <v>45</v>
      </c>
      <c r="C87" s="109" t="s">
        <v>138</v>
      </c>
      <c r="D87" s="110" t="s">
        <v>139</v>
      </c>
      <c r="E87" s="110">
        <v>27</v>
      </c>
      <c r="F87" s="110" t="s">
        <v>140</v>
      </c>
      <c r="G87" s="110" t="str">
        <f t="shared" si="40"/>
        <v>10</v>
      </c>
      <c r="H87" s="118">
        <v>46104</v>
      </c>
      <c r="I87" s="110">
        <v>3.51</v>
      </c>
      <c r="J87" s="110">
        <v>28.7</v>
      </c>
      <c r="K87" s="119">
        <v>9.0399999999999991</v>
      </c>
      <c r="L87" s="114">
        <f>K87*0.49</f>
        <v>4.4295999999999998</v>
      </c>
      <c r="M87" s="115">
        <f t="shared" ref="M87" si="44">L87*1.53</f>
        <v>6.7772879999999995</v>
      </c>
      <c r="N87" s="119">
        <v>329.5</v>
      </c>
      <c r="O87" s="119">
        <v>200</v>
      </c>
      <c r="P87" s="120">
        <f t="shared" si="43"/>
        <v>1.6475</v>
      </c>
    </row>
    <row r="88" spans="1:17" ht="14.45">
      <c r="A88" s="108" t="s">
        <v>150</v>
      </c>
      <c r="B88" s="109" t="s">
        <v>45</v>
      </c>
      <c r="C88" s="109" t="s">
        <v>138</v>
      </c>
      <c r="D88" s="110" t="s">
        <v>139</v>
      </c>
      <c r="E88" s="110">
        <v>27</v>
      </c>
      <c r="F88" s="110" t="s">
        <v>140</v>
      </c>
      <c r="G88" s="110" t="str">
        <f t="shared" si="40"/>
        <v>11</v>
      </c>
      <c r="H88" s="118">
        <v>46111</v>
      </c>
      <c r="I88" s="110">
        <v>3.6</v>
      </c>
      <c r="J88" s="110">
        <v>29.6</v>
      </c>
      <c r="K88" s="119">
        <v>8.06</v>
      </c>
      <c r="L88" s="114">
        <f t="shared" ref="L88:L89" si="45">K88*0.49</f>
        <v>3.9494000000000002</v>
      </c>
      <c r="M88" s="115">
        <f t="shared" ref="M88:M89" si="46">L88*1.53</f>
        <v>6.0425820000000003</v>
      </c>
      <c r="N88" s="119">
        <v>324.39999999999998</v>
      </c>
      <c r="O88" s="119">
        <v>200</v>
      </c>
      <c r="P88" s="120">
        <f t="shared" si="43"/>
        <v>1.6219999999999999</v>
      </c>
    </row>
    <row r="89" spans="1:17" ht="14.45">
      <c r="A89" s="108" t="s">
        <v>151</v>
      </c>
      <c r="B89" s="109" t="s">
        <v>45</v>
      </c>
      <c r="C89" s="109" t="s">
        <v>138</v>
      </c>
      <c r="D89" s="110" t="s">
        <v>139</v>
      </c>
      <c r="E89" s="110">
        <v>27</v>
      </c>
      <c r="F89" s="110" t="s">
        <v>140</v>
      </c>
      <c r="G89" s="110" t="str">
        <f t="shared" si="40"/>
        <v>12</v>
      </c>
      <c r="H89" s="118">
        <v>46118</v>
      </c>
      <c r="I89" s="110">
        <v>3.6</v>
      </c>
      <c r="J89" s="110">
        <v>30.5</v>
      </c>
      <c r="K89" s="119">
        <v>7.66</v>
      </c>
      <c r="L89" s="114">
        <f t="shared" si="45"/>
        <v>3.7534000000000001</v>
      </c>
      <c r="M89" s="115">
        <f t="shared" si="46"/>
        <v>5.7427020000000004</v>
      </c>
      <c r="N89" s="119">
        <v>317.10000000000002</v>
      </c>
      <c r="O89" s="119">
        <v>200</v>
      </c>
      <c r="P89" s="120">
        <f t="shared" si="43"/>
        <v>1.5855000000000001</v>
      </c>
    </row>
    <row r="90" spans="1:17" ht="14.45">
      <c r="A90" s="108" t="s">
        <v>152</v>
      </c>
      <c r="B90" s="109" t="s">
        <v>45</v>
      </c>
      <c r="C90" s="109" t="s">
        <v>138</v>
      </c>
      <c r="D90" s="110" t="s">
        <v>139</v>
      </c>
      <c r="E90" s="110">
        <v>27</v>
      </c>
      <c r="F90" s="110" t="s">
        <v>140</v>
      </c>
      <c r="G90" s="110">
        <v>13</v>
      </c>
      <c r="H90" s="118">
        <v>46125</v>
      </c>
      <c r="I90" s="110">
        <v>3.76</v>
      </c>
      <c r="J90" s="110">
        <v>31.6</v>
      </c>
      <c r="K90" s="119">
        <v>7.35</v>
      </c>
      <c r="L90" s="114">
        <f t="shared" ref="L90:L91" si="47">K90*0.49</f>
        <v>3.6014999999999997</v>
      </c>
      <c r="M90" s="115">
        <f t="shared" ref="M90:M91" si="48">L90*1.53</f>
        <v>5.5102949999999993</v>
      </c>
      <c r="N90" s="119">
        <v>298.39999999999998</v>
      </c>
      <c r="O90" s="119">
        <v>200</v>
      </c>
      <c r="P90" s="120">
        <f t="shared" si="43"/>
        <v>1.492</v>
      </c>
    </row>
    <row r="91" spans="1:17" ht="14.45">
      <c r="A91" s="108" t="s">
        <v>153</v>
      </c>
      <c r="B91" s="109" t="s">
        <v>45</v>
      </c>
      <c r="C91" s="109" t="s">
        <v>138</v>
      </c>
      <c r="D91" s="110" t="s">
        <v>139</v>
      </c>
      <c r="E91" s="110">
        <v>27</v>
      </c>
      <c r="F91" s="110" t="s">
        <v>140</v>
      </c>
      <c r="G91" s="110">
        <v>14</v>
      </c>
      <c r="H91" s="118">
        <v>46133</v>
      </c>
      <c r="I91" s="110">
        <v>4.13</v>
      </c>
      <c r="J91" s="110">
        <v>30.8</v>
      </c>
      <c r="K91" s="119">
        <v>4.7</v>
      </c>
      <c r="L91" s="114">
        <f t="shared" si="47"/>
        <v>2.3029999999999999</v>
      </c>
      <c r="M91" s="115">
        <f t="shared" si="48"/>
        <v>3.52359</v>
      </c>
      <c r="N91" s="119">
        <v>331.3</v>
      </c>
      <c r="O91" s="119">
        <v>200</v>
      </c>
      <c r="P91" s="120">
        <f t="shared" si="43"/>
        <v>1.6565000000000001</v>
      </c>
      <c r="Q91" t="s">
        <v>89</v>
      </c>
    </row>
    <row r="92" spans="1:17" ht="14.45">
      <c r="A92" s="108" t="s">
        <v>154</v>
      </c>
      <c r="B92" s="109" t="s">
        <v>17</v>
      </c>
      <c r="C92" s="109" t="s">
        <v>155</v>
      </c>
      <c r="D92" s="110" t="s">
        <v>156</v>
      </c>
      <c r="E92" s="110">
        <v>79</v>
      </c>
      <c r="F92" s="110">
        <v>156</v>
      </c>
      <c r="G92" s="110" t="str">
        <f t="shared" ref="G92:G113" si="49">_xlfn.TEXTAFTER(A92, "-", 2)</f>
        <v>1</v>
      </c>
      <c r="H92" s="118">
        <v>46042</v>
      </c>
      <c r="I92" s="110">
        <v>2.78</v>
      </c>
      <c r="J92" s="110">
        <v>12.7</v>
      </c>
      <c r="K92" s="119">
        <v>28.88</v>
      </c>
      <c r="L92" s="114">
        <f t="shared" si="41"/>
        <v>14.151199999999999</v>
      </c>
      <c r="M92" s="115">
        <f t="shared" si="42"/>
        <v>21.651336000000001</v>
      </c>
      <c r="N92" s="119">
        <v>188.2</v>
      </c>
      <c r="O92" s="119">
        <v>200</v>
      </c>
      <c r="P92" s="115">
        <f>N92/O92</f>
        <v>0.94099999999999995</v>
      </c>
    </row>
    <row r="93" spans="1:17" ht="14.45">
      <c r="A93" s="108" t="s">
        <v>157</v>
      </c>
      <c r="B93" s="109" t="s">
        <v>17</v>
      </c>
      <c r="C93" s="109" t="s">
        <v>155</v>
      </c>
      <c r="D93" s="110" t="s">
        <v>156</v>
      </c>
      <c r="E93" s="110">
        <v>79</v>
      </c>
      <c r="F93" s="110">
        <v>156</v>
      </c>
      <c r="G93" s="110" t="str">
        <f t="shared" si="49"/>
        <v>2</v>
      </c>
      <c r="H93" s="118">
        <v>46049</v>
      </c>
      <c r="I93" s="110">
        <v>2.9</v>
      </c>
      <c r="J93" s="110">
        <v>14.7</v>
      </c>
      <c r="K93" s="119">
        <v>23.92</v>
      </c>
      <c r="L93" s="114">
        <f t="shared" si="41"/>
        <v>11.720800000000001</v>
      </c>
      <c r="M93" s="115">
        <f t="shared" si="42"/>
        <v>17.932824</v>
      </c>
      <c r="N93" s="119">
        <v>246.17</v>
      </c>
      <c r="O93" s="119">
        <v>200</v>
      </c>
      <c r="P93" s="115">
        <f t="shared" ref="P93:P129" si="50">N93/O93</f>
        <v>1.23085</v>
      </c>
    </row>
    <row r="94" spans="1:17" ht="14.45">
      <c r="A94" s="108" t="s">
        <v>158</v>
      </c>
      <c r="B94" s="109" t="s">
        <v>17</v>
      </c>
      <c r="C94" s="109" t="s">
        <v>155</v>
      </c>
      <c r="D94" s="110" t="s">
        <v>156</v>
      </c>
      <c r="E94" s="110">
        <v>79</v>
      </c>
      <c r="F94" s="110">
        <v>156</v>
      </c>
      <c r="G94" s="110" t="str">
        <f t="shared" si="49"/>
        <v>3</v>
      </c>
      <c r="H94" s="118">
        <v>46056</v>
      </c>
      <c r="I94" s="110">
        <v>3.12</v>
      </c>
      <c r="J94" s="110">
        <v>17.899999999999999</v>
      </c>
      <c r="K94" s="119">
        <v>15.36</v>
      </c>
      <c r="L94" s="114">
        <f t="shared" si="41"/>
        <v>7.5263999999999998</v>
      </c>
      <c r="M94" s="115">
        <f t="shared" si="42"/>
        <v>11.515392</v>
      </c>
      <c r="N94" s="119">
        <v>256.20999999999998</v>
      </c>
      <c r="O94" s="119">
        <v>200</v>
      </c>
      <c r="P94" s="115">
        <f t="shared" si="50"/>
        <v>1.2810499999999998</v>
      </c>
    </row>
    <row r="95" spans="1:17" ht="14.45">
      <c r="A95" s="108" t="s">
        <v>159</v>
      </c>
      <c r="B95" s="109" t="s">
        <v>17</v>
      </c>
      <c r="C95" s="109" t="s">
        <v>155</v>
      </c>
      <c r="D95" s="110" t="s">
        <v>156</v>
      </c>
      <c r="E95" s="110">
        <v>79</v>
      </c>
      <c r="F95" s="110">
        <v>156</v>
      </c>
      <c r="G95" s="110" t="str">
        <f t="shared" si="49"/>
        <v>4</v>
      </c>
      <c r="H95" s="118">
        <v>46062</v>
      </c>
      <c r="I95" s="110">
        <v>3.1</v>
      </c>
      <c r="J95" s="110">
        <v>18.8</v>
      </c>
      <c r="K95" s="119">
        <v>14.98</v>
      </c>
      <c r="L95" s="114">
        <f t="shared" si="41"/>
        <v>7.3402000000000003</v>
      </c>
      <c r="M95" s="115">
        <f t="shared" si="42"/>
        <v>11.230506</v>
      </c>
      <c r="N95" s="119">
        <v>267.8</v>
      </c>
      <c r="O95" s="119">
        <v>200</v>
      </c>
      <c r="P95" s="115">
        <f t="shared" si="50"/>
        <v>1.339</v>
      </c>
    </row>
    <row r="96" spans="1:17" ht="14.45">
      <c r="A96" s="108" t="s">
        <v>160</v>
      </c>
      <c r="B96" s="109" t="s">
        <v>17</v>
      </c>
      <c r="C96" s="109" t="s">
        <v>155</v>
      </c>
      <c r="D96" s="110" t="s">
        <v>156</v>
      </c>
      <c r="E96" s="110">
        <v>79</v>
      </c>
      <c r="F96" s="110">
        <v>156</v>
      </c>
      <c r="G96" s="110" t="str">
        <f t="shared" si="49"/>
        <v>5</v>
      </c>
      <c r="H96" s="118">
        <v>46069</v>
      </c>
      <c r="I96" s="110">
        <v>3.1</v>
      </c>
      <c r="J96" s="110">
        <v>20.399999999999999</v>
      </c>
      <c r="K96" s="119">
        <v>13.56</v>
      </c>
      <c r="L96" s="114">
        <f t="shared" si="41"/>
        <v>6.6444000000000001</v>
      </c>
      <c r="M96" s="115">
        <f t="shared" si="42"/>
        <v>10.165932</v>
      </c>
      <c r="N96" s="119">
        <v>285.10000000000002</v>
      </c>
      <c r="O96" s="119">
        <v>200</v>
      </c>
      <c r="P96" s="115">
        <f t="shared" si="50"/>
        <v>1.4255000000000002</v>
      </c>
    </row>
    <row r="97" spans="1:16" ht="14.45">
      <c r="A97" s="108" t="s">
        <v>161</v>
      </c>
      <c r="B97" s="109" t="s">
        <v>17</v>
      </c>
      <c r="C97" s="109" t="s">
        <v>155</v>
      </c>
      <c r="D97" s="110" t="s">
        <v>156</v>
      </c>
      <c r="E97" s="110">
        <v>79</v>
      </c>
      <c r="F97" s="110">
        <v>156</v>
      </c>
      <c r="G97" s="110" t="str">
        <f t="shared" si="49"/>
        <v>6</v>
      </c>
      <c r="H97" s="118">
        <v>46076</v>
      </c>
      <c r="I97" s="110">
        <v>3.26</v>
      </c>
      <c r="J97" s="110">
        <v>22.2</v>
      </c>
      <c r="K97" s="119">
        <v>10.5</v>
      </c>
      <c r="L97" s="114">
        <f t="shared" si="41"/>
        <v>5.1449999999999996</v>
      </c>
      <c r="M97" s="115">
        <f t="shared" si="42"/>
        <v>7.8718499999999993</v>
      </c>
      <c r="N97" s="119">
        <v>269.3</v>
      </c>
      <c r="O97" s="119">
        <v>200</v>
      </c>
      <c r="P97" s="115">
        <f t="shared" si="50"/>
        <v>1.3465</v>
      </c>
    </row>
    <row r="98" spans="1:16" ht="14.45">
      <c r="A98" s="108" t="s">
        <v>162</v>
      </c>
      <c r="B98" s="109" t="s">
        <v>17</v>
      </c>
      <c r="C98" s="109" t="s">
        <v>155</v>
      </c>
      <c r="D98" s="110" t="s">
        <v>156</v>
      </c>
      <c r="E98" s="110">
        <v>79</v>
      </c>
      <c r="F98" s="110">
        <v>156</v>
      </c>
      <c r="G98" s="110" t="str">
        <f t="shared" si="49"/>
        <v>7</v>
      </c>
      <c r="H98" s="118">
        <v>46084</v>
      </c>
      <c r="I98" s="110">
        <v>3.26</v>
      </c>
      <c r="J98" s="110">
        <v>22.9</v>
      </c>
      <c r="K98" s="119">
        <v>10.45</v>
      </c>
      <c r="L98" s="114">
        <f t="shared" si="41"/>
        <v>5.1204999999999998</v>
      </c>
      <c r="M98" s="115">
        <f t="shared" si="42"/>
        <v>7.834365</v>
      </c>
      <c r="N98" s="119">
        <v>285.60000000000002</v>
      </c>
      <c r="O98" s="119">
        <v>200</v>
      </c>
      <c r="P98" s="115">
        <f t="shared" si="50"/>
        <v>1.4280000000000002</v>
      </c>
    </row>
    <row r="99" spans="1:16" ht="14.45">
      <c r="A99" s="108" t="s">
        <v>163</v>
      </c>
      <c r="B99" s="109" t="s">
        <v>17</v>
      </c>
      <c r="C99" s="109" t="s">
        <v>155</v>
      </c>
      <c r="D99" s="110" t="s">
        <v>156</v>
      </c>
      <c r="E99" s="110">
        <v>79</v>
      </c>
      <c r="F99" s="110">
        <v>156</v>
      </c>
      <c r="G99" s="110" t="str">
        <f t="shared" si="49"/>
        <v>8</v>
      </c>
      <c r="H99" s="118">
        <v>46090</v>
      </c>
      <c r="I99" s="110">
        <v>3.31</v>
      </c>
      <c r="J99" s="110">
        <v>24.9</v>
      </c>
      <c r="K99" s="119">
        <v>9.48</v>
      </c>
      <c r="L99" s="114">
        <f t="shared" si="41"/>
        <v>4.6452</v>
      </c>
      <c r="M99" s="115">
        <f t="shared" si="42"/>
        <v>7.1071559999999998</v>
      </c>
      <c r="N99" s="119">
        <v>242.6</v>
      </c>
      <c r="O99" s="119">
        <v>200</v>
      </c>
      <c r="P99" s="115">
        <f t="shared" si="50"/>
        <v>1.2130000000000001</v>
      </c>
    </row>
    <row r="100" spans="1:16" ht="14.45">
      <c r="A100" s="108" t="s">
        <v>164</v>
      </c>
      <c r="B100" s="109" t="s">
        <v>17</v>
      </c>
      <c r="C100" s="109" t="s">
        <v>155</v>
      </c>
      <c r="D100" s="110" t="s">
        <v>156</v>
      </c>
      <c r="E100" s="110">
        <v>79</v>
      </c>
      <c r="F100" s="110">
        <v>156</v>
      </c>
      <c r="G100" s="110" t="str">
        <f t="shared" si="49"/>
        <v>9</v>
      </c>
      <c r="H100" s="118">
        <v>46097</v>
      </c>
      <c r="I100" s="110">
        <v>3.36</v>
      </c>
      <c r="J100" s="110">
        <v>24.7</v>
      </c>
      <c r="K100" s="119">
        <v>9.35</v>
      </c>
      <c r="L100" s="114">
        <f t="shared" si="41"/>
        <v>4.5815000000000001</v>
      </c>
      <c r="M100" s="115">
        <f t="shared" si="42"/>
        <v>7.0096950000000007</v>
      </c>
      <c r="N100" s="119">
        <v>237.1</v>
      </c>
      <c r="O100" s="119">
        <v>200</v>
      </c>
      <c r="P100" s="115">
        <f t="shared" si="50"/>
        <v>1.1855</v>
      </c>
    </row>
    <row r="101" spans="1:16" ht="14.45">
      <c r="A101" s="108" t="s">
        <v>165</v>
      </c>
      <c r="B101" s="109" t="s">
        <v>17</v>
      </c>
      <c r="C101" s="109" t="s">
        <v>155</v>
      </c>
      <c r="D101" s="110" t="s">
        <v>156</v>
      </c>
      <c r="E101" s="110">
        <v>79</v>
      </c>
      <c r="F101" s="110">
        <v>156</v>
      </c>
      <c r="G101" s="110" t="str">
        <f t="shared" si="49"/>
        <v>10</v>
      </c>
      <c r="H101" s="118">
        <v>46104</v>
      </c>
      <c r="I101" s="110">
        <v>3.44</v>
      </c>
      <c r="J101" s="110">
        <v>24.3</v>
      </c>
      <c r="K101" s="119">
        <v>8.06</v>
      </c>
      <c r="L101" s="114">
        <f t="shared" ref="L101" si="51">K101*0.49</f>
        <v>3.9494000000000002</v>
      </c>
      <c r="M101" s="115">
        <f t="shared" ref="M101" si="52">L101*1.53</f>
        <v>6.0425820000000003</v>
      </c>
      <c r="N101" s="119">
        <v>229.6</v>
      </c>
      <c r="O101" s="119">
        <v>200</v>
      </c>
      <c r="P101" s="115">
        <f t="shared" si="50"/>
        <v>1.1479999999999999</v>
      </c>
    </row>
    <row r="102" spans="1:16" ht="14.45">
      <c r="A102" s="108" t="s">
        <v>166</v>
      </c>
      <c r="B102" s="109" t="s">
        <v>17</v>
      </c>
      <c r="C102" s="109" t="s">
        <v>155</v>
      </c>
      <c r="D102" s="110" t="s">
        <v>156</v>
      </c>
      <c r="E102" s="110">
        <v>79</v>
      </c>
      <c r="F102" s="110">
        <v>156</v>
      </c>
      <c r="G102" s="110" t="str">
        <f t="shared" si="49"/>
        <v>11</v>
      </c>
      <c r="H102" s="118">
        <v>46111</v>
      </c>
      <c r="I102" s="110">
        <v>3.33</v>
      </c>
      <c r="J102" s="110">
        <v>24.5</v>
      </c>
      <c r="K102" s="119">
        <v>8.6199999999999992</v>
      </c>
      <c r="L102" s="114">
        <f t="shared" ref="L102" si="53">K102*0.49</f>
        <v>4.2237999999999998</v>
      </c>
      <c r="M102" s="115">
        <f t="shared" ref="M102" si="54">L102*1.53</f>
        <v>6.4624139999999999</v>
      </c>
      <c r="N102" s="119">
        <v>257.10000000000002</v>
      </c>
      <c r="O102" s="119">
        <v>200</v>
      </c>
      <c r="P102" s="115">
        <f t="shared" si="50"/>
        <v>1.2855000000000001</v>
      </c>
    </row>
    <row r="103" spans="1:16" ht="14.45">
      <c r="A103" s="108" t="s">
        <v>167</v>
      </c>
      <c r="B103" s="109" t="s">
        <v>45</v>
      </c>
      <c r="C103" s="109" t="s">
        <v>155</v>
      </c>
      <c r="D103" s="110" t="s">
        <v>168</v>
      </c>
      <c r="E103" s="110">
        <v>7</v>
      </c>
      <c r="F103" s="110">
        <v>112</v>
      </c>
      <c r="G103" s="110" t="str">
        <f t="shared" si="49"/>
        <v>1</v>
      </c>
      <c r="H103" s="118">
        <v>46037</v>
      </c>
      <c r="I103" s="121">
        <v>2.6</v>
      </c>
      <c r="J103" s="110">
        <v>9.1999999999999993</v>
      </c>
      <c r="K103" s="119">
        <v>40.56</v>
      </c>
      <c r="L103" s="114">
        <f t="shared" si="41"/>
        <v>19.874400000000001</v>
      </c>
      <c r="M103" s="115">
        <f t="shared" si="42"/>
        <v>30.407832000000003</v>
      </c>
      <c r="N103" s="119">
        <v>209.27</v>
      </c>
      <c r="O103" s="119">
        <v>193</v>
      </c>
      <c r="P103" s="115">
        <f t="shared" si="50"/>
        <v>1.0843005181347152</v>
      </c>
    </row>
    <row r="104" spans="1:16" ht="14.45">
      <c r="A104" s="108" t="s">
        <v>169</v>
      </c>
      <c r="B104" s="109" t="s">
        <v>45</v>
      </c>
      <c r="C104" s="109" t="s">
        <v>155</v>
      </c>
      <c r="D104" s="110" t="s">
        <v>168</v>
      </c>
      <c r="E104" s="110">
        <v>7</v>
      </c>
      <c r="F104" s="110">
        <v>112</v>
      </c>
      <c r="G104" s="110" t="str">
        <f t="shared" si="49"/>
        <v>2</v>
      </c>
      <c r="H104" s="118">
        <v>46044</v>
      </c>
      <c r="I104" s="110">
        <v>2.72</v>
      </c>
      <c r="J104" s="110">
        <v>12.5</v>
      </c>
      <c r="K104" s="119">
        <v>28.8</v>
      </c>
      <c r="L104" s="114">
        <f t="shared" si="41"/>
        <v>14.112</v>
      </c>
      <c r="M104" s="115">
        <f t="shared" si="42"/>
        <v>21.591360000000002</v>
      </c>
      <c r="N104" s="119">
        <v>289.60000000000002</v>
      </c>
      <c r="O104" s="119">
        <v>200</v>
      </c>
      <c r="P104" s="115">
        <f t="shared" si="50"/>
        <v>1.4480000000000002</v>
      </c>
    </row>
    <row r="105" spans="1:16" ht="14.45">
      <c r="A105" s="108" t="s">
        <v>170</v>
      </c>
      <c r="B105" s="109" t="s">
        <v>45</v>
      </c>
      <c r="C105" s="109" t="s">
        <v>155</v>
      </c>
      <c r="D105" s="110" t="s">
        <v>168</v>
      </c>
      <c r="E105" s="110">
        <v>7</v>
      </c>
      <c r="F105" s="110">
        <v>112</v>
      </c>
      <c r="G105" s="110" t="str">
        <f t="shared" si="49"/>
        <v>3</v>
      </c>
      <c r="H105" s="118">
        <v>46050</v>
      </c>
      <c r="I105" s="110">
        <v>2.81</v>
      </c>
      <c r="J105" s="110">
        <v>14.4</v>
      </c>
      <c r="K105" s="119">
        <v>26.12</v>
      </c>
      <c r="L105" s="114">
        <f t="shared" si="41"/>
        <v>12.7988</v>
      </c>
      <c r="M105" s="115">
        <f t="shared" si="42"/>
        <v>19.582163999999999</v>
      </c>
      <c r="N105" s="119">
        <v>333.19</v>
      </c>
      <c r="O105" s="119">
        <v>200</v>
      </c>
      <c r="P105" s="115">
        <f t="shared" si="50"/>
        <v>1.66595</v>
      </c>
    </row>
    <row r="106" spans="1:16" ht="14.45">
      <c r="A106" s="108" t="s">
        <v>171</v>
      </c>
      <c r="B106" s="109" t="s">
        <v>45</v>
      </c>
      <c r="C106" s="109" t="s">
        <v>155</v>
      </c>
      <c r="D106" s="110" t="s">
        <v>168</v>
      </c>
      <c r="E106" s="110">
        <v>7</v>
      </c>
      <c r="F106" s="110">
        <v>112</v>
      </c>
      <c r="G106" s="110" t="str">
        <f t="shared" si="49"/>
        <v>4</v>
      </c>
      <c r="H106" s="118">
        <v>46058</v>
      </c>
      <c r="I106" s="110">
        <v>2.95</v>
      </c>
      <c r="J106" s="110">
        <v>16.3</v>
      </c>
      <c r="K106" s="119">
        <v>18.22</v>
      </c>
      <c r="L106" s="114">
        <f t="shared" si="41"/>
        <v>8.9277999999999995</v>
      </c>
      <c r="M106" s="115">
        <f t="shared" si="42"/>
        <v>13.659533999999999</v>
      </c>
      <c r="N106" s="119">
        <v>368.8</v>
      </c>
      <c r="O106" s="119">
        <v>200</v>
      </c>
      <c r="P106" s="115">
        <f t="shared" si="50"/>
        <v>1.8440000000000001</v>
      </c>
    </row>
    <row r="107" spans="1:16" ht="14.45">
      <c r="A107" s="108" t="s">
        <v>172</v>
      </c>
      <c r="B107" s="109" t="s">
        <v>45</v>
      </c>
      <c r="C107" s="109" t="s">
        <v>155</v>
      </c>
      <c r="D107" s="110" t="s">
        <v>168</v>
      </c>
      <c r="E107" s="110">
        <v>7</v>
      </c>
      <c r="F107" s="110">
        <v>112</v>
      </c>
      <c r="G107" s="110" t="str">
        <f t="shared" si="49"/>
        <v>5</v>
      </c>
      <c r="H107" s="118">
        <v>46065</v>
      </c>
      <c r="I107" s="110">
        <v>3.01</v>
      </c>
      <c r="J107" s="110">
        <v>19.100000000000001</v>
      </c>
      <c r="K107" s="119">
        <v>15.84</v>
      </c>
      <c r="L107" s="114">
        <f t="shared" si="41"/>
        <v>7.7615999999999996</v>
      </c>
      <c r="M107" s="115">
        <f t="shared" si="42"/>
        <v>11.875247999999999</v>
      </c>
      <c r="N107" s="119">
        <v>353.8</v>
      </c>
      <c r="O107" s="119">
        <v>200</v>
      </c>
      <c r="P107" s="115">
        <f t="shared" si="50"/>
        <v>1.7690000000000001</v>
      </c>
    </row>
    <row r="108" spans="1:16" ht="14.45">
      <c r="A108" s="108" t="s">
        <v>173</v>
      </c>
      <c r="B108" s="109" t="s">
        <v>45</v>
      </c>
      <c r="C108" s="109" t="s">
        <v>155</v>
      </c>
      <c r="D108" s="110" t="s">
        <v>168</v>
      </c>
      <c r="E108" s="110">
        <v>7</v>
      </c>
      <c r="F108" s="110">
        <v>112</v>
      </c>
      <c r="G108" s="110" t="str">
        <f t="shared" si="49"/>
        <v>6</v>
      </c>
      <c r="H108" s="118">
        <v>46071</v>
      </c>
      <c r="I108" s="110">
        <v>3.12</v>
      </c>
      <c r="J108" s="110">
        <v>20.3</v>
      </c>
      <c r="K108" s="119">
        <v>13.2</v>
      </c>
      <c r="L108" s="114">
        <f t="shared" si="41"/>
        <v>6.468</v>
      </c>
      <c r="M108" s="115">
        <f t="shared" si="42"/>
        <v>9.8960399999999993</v>
      </c>
      <c r="N108" s="119">
        <v>361.7</v>
      </c>
      <c r="O108" s="119">
        <v>200</v>
      </c>
      <c r="P108" s="115">
        <f t="shared" si="50"/>
        <v>1.8085</v>
      </c>
    </row>
    <row r="109" spans="1:16" ht="14.45">
      <c r="A109" s="108" t="s">
        <v>174</v>
      </c>
      <c r="B109" s="109" t="s">
        <v>45</v>
      </c>
      <c r="C109" s="109" t="s">
        <v>155</v>
      </c>
      <c r="D109" s="110" t="s">
        <v>168</v>
      </c>
      <c r="E109" s="110">
        <v>7</v>
      </c>
      <c r="F109" s="110">
        <v>112</v>
      </c>
      <c r="G109" s="110" t="str">
        <f t="shared" si="49"/>
        <v>7</v>
      </c>
      <c r="H109" s="118">
        <v>46079</v>
      </c>
      <c r="I109" s="110">
        <v>3.1</v>
      </c>
      <c r="J109" s="110">
        <v>22.6</v>
      </c>
      <c r="K109" s="119">
        <v>11.52</v>
      </c>
      <c r="L109" s="114">
        <f t="shared" si="41"/>
        <v>5.6448</v>
      </c>
      <c r="M109" s="115">
        <f t="shared" si="42"/>
        <v>8.6365440000000007</v>
      </c>
      <c r="N109" s="119">
        <v>392</v>
      </c>
      <c r="O109" s="119">
        <v>200</v>
      </c>
      <c r="P109" s="115">
        <f t="shared" si="50"/>
        <v>1.96</v>
      </c>
    </row>
    <row r="110" spans="1:16" ht="14.45">
      <c r="A110" s="108" t="s">
        <v>175</v>
      </c>
      <c r="B110" s="109" t="s">
        <v>45</v>
      </c>
      <c r="C110" s="109" t="s">
        <v>155</v>
      </c>
      <c r="D110" s="110" t="s">
        <v>168</v>
      </c>
      <c r="E110" s="110">
        <v>7</v>
      </c>
      <c r="F110" s="110">
        <v>112</v>
      </c>
      <c r="G110" s="110" t="str">
        <f t="shared" si="49"/>
        <v>8</v>
      </c>
      <c r="H110" s="118">
        <v>46086</v>
      </c>
      <c r="I110" s="110">
        <v>3.22</v>
      </c>
      <c r="J110" s="110">
        <v>23.2</v>
      </c>
      <c r="K110" s="119">
        <v>10.25</v>
      </c>
      <c r="L110" s="114">
        <f t="shared" si="41"/>
        <v>5.0225</v>
      </c>
      <c r="M110" s="115">
        <f t="shared" si="42"/>
        <v>7.6844250000000001</v>
      </c>
      <c r="N110" s="119">
        <v>412.2</v>
      </c>
      <c r="O110" s="119">
        <v>200</v>
      </c>
      <c r="P110" s="115">
        <f t="shared" si="50"/>
        <v>2.0609999999999999</v>
      </c>
    </row>
    <row r="111" spans="1:16" ht="14.45">
      <c r="A111" s="108" t="s">
        <v>176</v>
      </c>
      <c r="B111" s="109" t="s">
        <v>45</v>
      </c>
      <c r="C111" s="109" t="s">
        <v>155</v>
      </c>
      <c r="D111" s="110" t="s">
        <v>168</v>
      </c>
      <c r="E111" s="110">
        <v>7</v>
      </c>
      <c r="F111" s="110">
        <v>112</v>
      </c>
      <c r="G111" s="110" t="str">
        <f t="shared" si="49"/>
        <v>9</v>
      </c>
      <c r="H111" s="118">
        <v>46093</v>
      </c>
      <c r="I111" s="110">
        <v>3.16</v>
      </c>
      <c r="J111" s="110">
        <v>23.8</v>
      </c>
      <c r="K111" s="119">
        <v>9.5500000000000007</v>
      </c>
      <c r="L111" s="114">
        <f t="shared" si="41"/>
        <v>4.6795</v>
      </c>
      <c r="M111" s="115">
        <f t="shared" si="42"/>
        <v>7.1596349999999997</v>
      </c>
      <c r="N111" s="119">
        <v>418.7</v>
      </c>
      <c r="O111" s="119">
        <v>200</v>
      </c>
      <c r="P111" s="115">
        <f t="shared" si="50"/>
        <v>2.0935000000000001</v>
      </c>
    </row>
    <row r="112" spans="1:16" ht="14.45">
      <c r="A112" s="108" t="s">
        <v>177</v>
      </c>
      <c r="B112" s="109" t="s">
        <v>45</v>
      </c>
      <c r="C112" s="109" t="s">
        <v>155</v>
      </c>
      <c r="D112" s="110" t="s">
        <v>168</v>
      </c>
      <c r="E112" s="110">
        <v>7</v>
      </c>
      <c r="F112" s="110">
        <v>112</v>
      </c>
      <c r="G112" s="110" t="str">
        <f t="shared" si="49"/>
        <v>10</v>
      </c>
      <c r="H112" s="118">
        <v>46108</v>
      </c>
      <c r="I112" s="110">
        <v>3.06</v>
      </c>
      <c r="J112" s="110">
        <v>24.8</v>
      </c>
      <c r="K112" s="119">
        <v>9.2200000000000006</v>
      </c>
      <c r="L112" s="114">
        <f t="shared" ref="L112" si="55">K112*0.49</f>
        <v>4.5178000000000003</v>
      </c>
      <c r="M112" s="115">
        <f t="shared" ref="M112" si="56">L112*1.53</f>
        <v>6.9122340000000007</v>
      </c>
      <c r="N112" s="119">
        <v>386.5</v>
      </c>
      <c r="O112" s="119">
        <v>200</v>
      </c>
      <c r="P112" s="115">
        <f t="shared" si="50"/>
        <v>1.9325000000000001</v>
      </c>
    </row>
    <row r="113" spans="1:16" ht="14.45">
      <c r="A113" s="108" t="s">
        <v>178</v>
      </c>
      <c r="B113" s="109" t="s">
        <v>45</v>
      </c>
      <c r="C113" s="109" t="s">
        <v>155</v>
      </c>
      <c r="D113" s="110" t="s">
        <v>168</v>
      </c>
      <c r="E113" s="110">
        <v>7</v>
      </c>
      <c r="F113" s="110">
        <v>112</v>
      </c>
      <c r="G113" s="110" t="str">
        <f t="shared" si="49"/>
        <v>11</v>
      </c>
      <c r="H113" s="118">
        <v>46114</v>
      </c>
      <c r="I113" s="110">
        <v>3.06</v>
      </c>
      <c r="J113" s="110">
        <v>25.3</v>
      </c>
      <c r="K113" s="119">
        <v>9.9700000000000006</v>
      </c>
      <c r="L113" s="114">
        <f t="shared" ref="L113:L114" si="57">K113*0.49</f>
        <v>4.8853</v>
      </c>
      <c r="M113" s="115">
        <f t="shared" ref="M113:M114" si="58">L113*1.53</f>
        <v>7.4745090000000003</v>
      </c>
      <c r="N113" s="119">
        <v>410.1</v>
      </c>
      <c r="O113" s="119">
        <v>200</v>
      </c>
      <c r="P113" s="115">
        <f t="shared" si="50"/>
        <v>2.0505</v>
      </c>
    </row>
    <row r="114" spans="1:16" ht="14.45">
      <c r="A114" s="108" t="s">
        <v>179</v>
      </c>
      <c r="B114" s="109" t="s">
        <v>45</v>
      </c>
      <c r="C114" s="109" t="s">
        <v>155</v>
      </c>
      <c r="D114" s="110" t="s">
        <v>168</v>
      </c>
      <c r="E114" s="110">
        <v>7</v>
      </c>
      <c r="F114" s="110">
        <v>112</v>
      </c>
      <c r="G114" s="110">
        <v>12</v>
      </c>
      <c r="H114" s="118">
        <v>46121</v>
      </c>
      <c r="I114" s="110">
        <v>3.15</v>
      </c>
      <c r="J114" s="110">
        <v>25.1</v>
      </c>
      <c r="K114" s="119">
        <v>9.2100000000000009</v>
      </c>
      <c r="L114" s="114">
        <f t="shared" si="57"/>
        <v>4.5129000000000001</v>
      </c>
      <c r="M114" s="115">
        <f t="shared" si="58"/>
        <v>6.9047369999999999</v>
      </c>
      <c r="N114" s="119">
        <v>408.4</v>
      </c>
      <c r="O114" s="119">
        <v>200</v>
      </c>
      <c r="P114" s="115">
        <f t="shared" si="50"/>
        <v>2.0419999999999998</v>
      </c>
    </row>
    <row r="115" spans="1:16" ht="14.45">
      <c r="A115" s="108" t="s">
        <v>180</v>
      </c>
      <c r="B115" s="109" t="s">
        <v>45</v>
      </c>
      <c r="C115" s="109" t="s">
        <v>155</v>
      </c>
      <c r="D115" s="110" t="s">
        <v>168</v>
      </c>
      <c r="E115" s="110">
        <v>7</v>
      </c>
      <c r="F115" s="110">
        <v>112</v>
      </c>
      <c r="G115" s="110">
        <v>13</v>
      </c>
      <c r="H115" s="118">
        <v>46128</v>
      </c>
      <c r="I115" s="110">
        <v>3.24</v>
      </c>
      <c r="J115" s="110">
        <v>25.3</v>
      </c>
      <c r="K115" s="119">
        <v>8.57</v>
      </c>
      <c r="L115" s="114">
        <f t="shared" ref="L115" si="59">K115*0.49</f>
        <v>4.1993</v>
      </c>
      <c r="M115" s="115">
        <f t="shared" ref="M115" si="60">L115*1.53</f>
        <v>6.4249290000000006</v>
      </c>
      <c r="N115" s="119">
        <v>384.4</v>
      </c>
      <c r="O115" s="119">
        <v>200</v>
      </c>
      <c r="P115" s="115">
        <f t="shared" si="50"/>
        <v>1.9219999999999999</v>
      </c>
    </row>
    <row r="116" spans="1:16" ht="14.45">
      <c r="A116" s="108" t="s">
        <v>181</v>
      </c>
      <c r="B116" s="109" t="s">
        <v>45</v>
      </c>
      <c r="C116" s="109" t="s">
        <v>155</v>
      </c>
      <c r="D116" s="110" t="s">
        <v>168</v>
      </c>
      <c r="E116" s="110">
        <v>7</v>
      </c>
      <c r="F116" s="110">
        <v>112</v>
      </c>
      <c r="G116" s="110">
        <v>14</v>
      </c>
      <c r="H116" s="118">
        <v>46135</v>
      </c>
      <c r="I116" s="110">
        <v>3.29</v>
      </c>
      <c r="J116" s="110">
        <v>26.8</v>
      </c>
      <c r="K116" s="119">
        <v>7.42</v>
      </c>
      <c r="L116" s="114">
        <f t="shared" ref="L116" si="61">K116*0.49</f>
        <v>3.6357999999999997</v>
      </c>
      <c r="M116" s="115">
        <f t="shared" ref="M116" si="62">L116*1.53</f>
        <v>5.5627739999999992</v>
      </c>
      <c r="N116" s="119">
        <v>375.6</v>
      </c>
      <c r="O116" s="119">
        <v>200</v>
      </c>
      <c r="P116" s="115">
        <f t="shared" ref="P116" si="63">N116/O116</f>
        <v>1.8780000000000001</v>
      </c>
    </row>
    <row r="117" spans="1:16" ht="14.45">
      <c r="A117" s="108" t="s">
        <v>182</v>
      </c>
      <c r="B117" s="109" t="s">
        <v>17</v>
      </c>
      <c r="C117" s="109" t="s">
        <v>155</v>
      </c>
      <c r="D117" s="110" t="s">
        <v>183</v>
      </c>
      <c r="E117" s="110">
        <v>45</v>
      </c>
      <c r="F117" s="110">
        <v>15</v>
      </c>
      <c r="G117" s="110" t="str">
        <f t="shared" ref="G117:G127" si="64">_xlfn.TEXTAFTER(A117, "-", 2)</f>
        <v>1</v>
      </c>
      <c r="H117" s="118">
        <v>46037</v>
      </c>
      <c r="I117" s="121">
        <v>2.7</v>
      </c>
      <c r="J117" s="110">
        <v>9.4</v>
      </c>
      <c r="K117" s="119">
        <v>31.56</v>
      </c>
      <c r="L117" s="114">
        <f t="shared" si="41"/>
        <v>15.464399999999999</v>
      </c>
      <c r="M117" s="115">
        <f t="shared" si="42"/>
        <v>23.660532</v>
      </c>
      <c r="N117" s="119">
        <v>215.58</v>
      </c>
      <c r="O117" s="119">
        <v>162</v>
      </c>
      <c r="P117" s="115">
        <f t="shared" si="50"/>
        <v>1.3307407407407408</v>
      </c>
    </row>
    <row r="118" spans="1:16" ht="14.45">
      <c r="A118" s="108" t="s">
        <v>184</v>
      </c>
      <c r="B118" s="109" t="s">
        <v>17</v>
      </c>
      <c r="C118" s="109" t="s">
        <v>155</v>
      </c>
      <c r="D118" s="110" t="s">
        <v>183</v>
      </c>
      <c r="E118" s="110">
        <v>45</v>
      </c>
      <c r="F118" s="110">
        <v>15</v>
      </c>
      <c r="G118" s="110" t="str">
        <f t="shared" si="64"/>
        <v>2</v>
      </c>
      <c r="H118" s="118">
        <v>46044</v>
      </c>
      <c r="I118" s="110">
        <v>2.83</v>
      </c>
      <c r="J118" s="110">
        <v>13.9</v>
      </c>
      <c r="K118" s="119">
        <v>23.9</v>
      </c>
      <c r="L118" s="114">
        <f t="shared" si="41"/>
        <v>11.710999999999999</v>
      </c>
      <c r="M118" s="115">
        <f t="shared" si="42"/>
        <v>17.917829999999999</v>
      </c>
      <c r="N118" s="119">
        <v>259.10000000000002</v>
      </c>
      <c r="O118" s="119">
        <v>200</v>
      </c>
      <c r="P118" s="115">
        <f t="shared" si="50"/>
        <v>1.2955000000000001</v>
      </c>
    </row>
    <row r="119" spans="1:16" ht="14.45">
      <c r="A119" s="108" t="s">
        <v>185</v>
      </c>
      <c r="B119" s="109" t="s">
        <v>17</v>
      </c>
      <c r="C119" s="109" t="s">
        <v>155</v>
      </c>
      <c r="D119" s="110" t="s">
        <v>183</v>
      </c>
      <c r="E119" s="110">
        <v>45</v>
      </c>
      <c r="F119" s="110">
        <v>15</v>
      </c>
      <c r="G119" s="110" t="str">
        <f t="shared" si="64"/>
        <v>3</v>
      </c>
      <c r="H119" s="118">
        <v>46050</v>
      </c>
      <c r="I119" s="110">
        <v>2.93</v>
      </c>
      <c r="J119" s="110">
        <v>15.6</v>
      </c>
      <c r="K119" s="119">
        <v>17.36</v>
      </c>
      <c r="L119" s="114">
        <f t="shared" si="41"/>
        <v>8.5063999999999993</v>
      </c>
      <c r="M119" s="115">
        <f t="shared" si="42"/>
        <v>13.014792</v>
      </c>
      <c r="N119" s="119">
        <v>264.3</v>
      </c>
      <c r="O119" s="119">
        <v>200</v>
      </c>
      <c r="P119" s="115">
        <f t="shared" si="50"/>
        <v>1.3215000000000001</v>
      </c>
    </row>
    <row r="120" spans="1:16" ht="14.45">
      <c r="A120" s="108" t="s">
        <v>186</v>
      </c>
      <c r="B120" s="109" t="s">
        <v>17</v>
      </c>
      <c r="C120" s="109" t="s">
        <v>155</v>
      </c>
      <c r="D120" s="110" t="s">
        <v>183</v>
      </c>
      <c r="E120" s="110">
        <v>45</v>
      </c>
      <c r="F120" s="110">
        <v>15</v>
      </c>
      <c r="G120" s="110" t="str">
        <f t="shared" si="64"/>
        <v>4</v>
      </c>
      <c r="H120" s="118">
        <v>46058</v>
      </c>
      <c r="I120" s="110">
        <v>3.06</v>
      </c>
      <c r="J120" s="110">
        <v>18.3</v>
      </c>
      <c r="K120" s="119">
        <v>13.34</v>
      </c>
      <c r="L120" s="114">
        <f t="shared" si="41"/>
        <v>6.5366</v>
      </c>
      <c r="M120" s="115">
        <f t="shared" si="42"/>
        <v>10.000998000000001</v>
      </c>
      <c r="N120" s="119">
        <v>318.60000000000002</v>
      </c>
      <c r="O120" s="119">
        <v>200</v>
      </c>
      <c r="P120" s="115">
        <f t="shared" si="50"/>
        <v>1.5930000000000002</v>
      </c>
    </row>
    <row r="121" spans="1:16" ht="14.45">
      <c r="A121" s="108" t="s">
        <v>187</v>
      </c>
      <c r="B121" s="109" t="s">
        <v>17</v>
      </c>
      <c r="C121" s="109" t="s">
        <v>155</v>
      </c>
      <c r="D121" s="110" t="s">
        <v>183</v>
      </c>
      <c r="E121" s="110">
        <v>45</v>
      </c>
      <c r="F121" s="110">
        <v>15</v>
      </c>
      <c r="G121" s="110" t="str">
        <f t="shared" si="64"/>
        <v>5</v>
      </c>
      <c r="H121" s="118">
        <v>46065</v>
      </c>
      <c r="I121" s="110">
        <v>3.11</v>
      </c>
      <c r="J121" s="110">
        <v>19.8</v>
      </c>
      <c r="K121" s="119">
        <v>11.78</v>
      </c>
      <c r="L121" s="114">
        <f t="shared" si="41"/>
        <v>5.7721999999999998</v>
      </c>
      <c r="M121" s="115">
        <f t="shared" si="42"/>
        <v>8.8314659999999989</v>
      </c>
      <c r="N121" s="119">
        <v>320</v>
      </c>
      <c r="O121" s="119">
        <v>200</v>
      </c>
      <c r="P121" s="115">
        <f t="shared" si="50"/>
        <v>1.6</v>
      </c>
    </row>
    <row r="122" spans="1:16" ht="14.45">
      <c r="A122" s="108" t="s">
        <v>188</v>
      </c>
      <c r="B122" s="109" t="s">
        <v>17</v>
      </c>
      <c r="C122" s="109" t="s">
        <v>155</v>
      </c>
      <c r="D122" s="110" t="s">
        <v>183</v>
      </c>
      <c r="E122" s="110">
        <v>45</v>
      </c>
      <c r="F122" s="110">
        <v>15</v>
      </c>
      <c r="G122" s="110" t="str">
        <f t="shared" si="64"/>
        <v>6</v>
      </c>
      <c r="H122" s="118">
        <v>46071</v>
      </c>
      <c r="I122" s="110">
        <v>3.22</v>
      </c>
      <c r="J122" s="110">
        <v>21.2</v>
      </c>
      <c r="K122" s="119">
        <v>10.3</v>
      </c>
      <c r="L122" s="114">
        <f t="shared" si="41"/>
        <v>5.0470000000000006</v>
      </c>
      <c r="M122" s="115">
        <f t="shared" si="42"/>
        <v>7.7219100000000012</v>
      </c>
      <c r="N122" s="119">
        <v>328</v>
      </c>
      <c r="O122" s="119">
        <v>200</v>
      </c>
      <c r="P122" s="115">
        <f t="shared" si="50"/>
        <v>1.64</v>
      </c>
    </row>
    <row r="123" spans="1:16" ht="14.45">
      <c r="A123" s="108" t="s">
        <v>189</v>
      </c>
      <c r="B123" s="109" t="s">
        <v>17</v>
      </c>
      <c r="C123" s="109" t="s">
        <v>155</v>
      </c>
      <c r="D123" s="110" t="s">
        <v>183</v>
      </c>
      <c r="E123" s="110">
        <v>45</v>
      </c>
      <c r="F123" s="110">
        <v>15</v>
      </c>
      <c r="G123" s="110" t="str">
        <f t="shared" si="64"/>
        <v>7</v>
      </c>
      <c r="H123" s="118">
        <v>46079</v>
      </c>
      <c r="I123" s="110">
        <v>3.23</v>
      </c>
      <c r="J123" s="110">
        <v>23.8</v>
      </c>
      <c r="K123" s="119">
        <v>9.58</v>
      </c>
      <c r="L123" s="114">
        <f t="shared" si="41"/>
        <v>4.6942000000000004</v>
      </c>
      <c r="M123" s="115">
        <f t="shared" si="42"/>
        <v>7.1821260000000011</v>
      </c>
      <c r="N123" s="119">
        <v>332.1</v>
      </c>
      <c r="O123" s="119">
        <v>200</v>
      </c>
      <c r="P123" s="115">
        <f t="shared" si="50"/>
        <v>1.6605000000000001</v>
      </c>
    </row>
    <row r="124" spans="1:16" ht="14.45">
      <c r="A124" s="108" t="s">
        <v>190</v>
      </c>
      <c r="B124" s="109" t="s">
        <v>17</v>
      </c>
      <c r="C124" s="109" t="s">
        <v>155</v>
      </c>
      <c r="D124" s="110" t="s">
        <v>183</v>
      </c>
      <c r="E124" s="110">
        <v>45</v>
      </c>
      <c r="F124" s="110">
        <v>15</v>
      </c>
      <c r="G124" s="110" t="str">
        <f t="shared" si="64"/>
        <v>8</v>
      </c>
      <c r="H124" s="118">
        <v>46086</v>
      </c>
      <c r="I124" s="110">
        <v>3.26</v>
      </c>
      <c r="J124" s="110">
        <v>23.9</v>
      </c>
      <c r="K124" s="119">
        <v>8.94</v>
      </c>
      <c r="L124" s="114">
        <f t="shared" si="41"/>
        <v>4.3805999999999994</v>
      </c>
      <c r="M124" s="115">
        <f t="shared" si="42"/>
        <v>6.7023179999999991</v>
      </c>
      <c r="N124" s="119">
        <v>342.4</v>
      </c>
      <c r="O124" s="119">
        <v>200</v>
      </c>
      <c r="P124" s="115">
        <f t="shared" si="50"/>
        <v>1.712</v>
      </c>
    </row>
    <row r="125" spans="1:16" ht="14.45">
      <c r="A125" s="108" t="s">
        <v>191</v>
      </c>
      <c r="B125" s="109" t="s">
        <v>17</v>
      </c>
      <c r="C125" s="109" t="s">
        <v>155</v>
      </c>
      <c r="D125" s="110" t="s">
        <v>183</v>
      </c>
      <c r="E125" s="110">
        <v>45</v>
      </c>
      <c r="F125" s="110">
        <v>15</v>
      </c>
      <c r="G125" s="110" t="str">
        <f t="shared" si="64"/>
        <v>9</v>
      </c>
      <c r="H125" s="118">
        <v>46093</v>
      </c>
      <c r="I125" s="110">
        <v>3.22</v>
      </c>
      <c r="J125" s="110">
        <v>25.4</v>
      </c>
      <c r="K125" s="119">
        <v>8.74</v>
      </c>
      <c r="L125" s="114">
        <f t="shared" si="41"/>
        <v>4.2826000000000004</v>
      </c>
      <c r="M125" s="115">
        <f t="shared" si="42"/>
        <v>6.5523780000000009</v>
      </c>
      <c r="N125" s="119">
        <v>335.2</v>
      </c>
      <c r="O125" s="119">
        <v>200</v>
      </c>
      <c r="P125" s="115">
        <f t="shared" si="50"/>
        <v>1.6759999999999999</v>
      </c>
    </row>
    <row r="126" spans="1:16" ht="14.45">
      <c r="A126" s="108" t="s">
        <v>192</v>
      </c>
      <c r="B126" s="109" t="s">
        <v>17</v>
      </c>
      <c r="C126" s="109" t="s">
        <v>155</v>
      </c>
      <c r="D126" s="110" t="s">
        <v>183</v>
      </c>
      <c r="E126" s="110">
        <v>45</v>
      </c>
      <c r="F126" s="110">
        <v>15</v>
      </c>
      <c r="G126" s="110" t="str">
        <f t="shared" si="64"/>
        <v>10</v>
      </c>
      <c r="H126" s="118">
        <v>46108</v>
      </c>
      <c r="I126" s="110">
        <v>3.21</v>
      </c>
      <c r="J126" s="110">
        <v>25.7</v>
      </c>
      <c r="K126" s="119">
        <v>8.11</v>
      </c>
      <c r="L126" s="114">
        <f t="shared" ref="L126" si="65">K126*0.49</f>
        <v>3.9738999999999995</v>
      </c>
      <c r="M126" s="115">
        <f t="shared" ref="M126" si="66">L126*1.53</f>
        <v>6.0800669999999997</v>
      </c>
      <c r="N126" s="119">
        <v>299.60000000000002</v>
      </c>
      <c r="O126" s="119">
        <v>200</v>
      </c>
      <c r="P126" s="115">
        <f t="shared" si="50"/>
        <v>1.4980000000000002</v>
      </c>
    </row>
    <row r="127" spans="1:16" ht="14.45">
      <c r="A127" s="108" t="s">
        <v>193</v>
      </c>
      <c r="B127" s="109" t="s">
        <v>17</v>
      </c>
      <c r="C127" s="109" t="s">
        <v>155</v>
      </c>
      <c r="D127" s="110" t="s">
        <v>183</v>
      </c>
      <c r="E127" s="110">
        <v>45</v>
      </c>
      <c r="F127" s="110">
        <v>15</v>
      </c>
      <c r="G127" s="110" t="str">
        <f t="shared" si="64"/>
        <v>11</v>
      </c>
      <c r="H127" s="118">
        <v>46114</v>
      </c>
      <c r="I127" s="110">
        <v>3.18</v>
      </c>
      <c r="J127" s="110">
        <v>25.6</v>
      </c>
      <c r="K127" s="119">
        <v>8.6999999999999993</v>
      </c>
      <c r="L127" s="114">
        <f t="shared" ref="L127" si="67">K127*0.49</f>
        <v>4.2629999999999999</v>
      </c>
      <c r="M127" s="115">
        <f t="shared" ref="M127" si="68">L127*1.53</f>
        <v>6.5223899999999997</v>
      </c>
      <c r="N127" s="119">
        <v>319.7</v>
      </c>
      <c r="O127" s="119">
        <v>200</v>
      </c>
      <c r="P127" s="115">
        <f t="shared" si="50"/>
        <v>1.5985</v>
      </c>
    </row>
    <row r="128" spans="1:16" ht="14.45">
      <c r="A128" s="108" t="s">
        <v>194</v>
      </c>
      <c r="B128" s="109" t="s">
        <v>17</v>
      </c>
      <c r="C128" s="109" t="s">
        <v>155</v>
      </c>
      <c r="D128" s="110" t="s">
        <v>183</v>
      </c>
      <c r="E128" s="110">
        <v>45</v>
      </c>
      <c r="F128" s="110">
        <v>15</v>
      </c>
      <c r="G128" s="110">
        <v>12</v>
      </c>
      <c r="H128" s="118">
        <v>46121</v>
      </c>
      <c r="I128" s="110">
        <v>3.29</v>
      </c>
      <c r="J128" s="110">
        <v>26</v>
      </c>
      <c r="K128" s="119">
        <v>8.0500000000000007</v>
      </c>
      <c r="L128" s="114">
        <f>K128*0.49</f>
        <v>3.9445000000000001</v>
      </c>
      <c r="M128" s="115">
        <f t="shared" ref="M128" si="69">L128*1.53</f>
        <v>6.0350850000000005</v>
      </c>
      <c r="N128" s="119">
        <v>294.89999999999998</v>
      </c>
      <c r="O128" s="119">
        <v>200</v>
      </c>
      <c r="P128" s="115">
        <f t="shared" si="50"/>
        <v>1.4744999999999999</v>
      </c>
    </row>
    <row r="129" spans="1:17" ht="14.45">
      <c r="A129" s="108" t="s">
        <v>195</v>
      </c>
      <c r="B129" s="109" t="s">
        <v>17</v>
      </c>
      <c r="C129" s="109" t="s">
        <v>155</v>
      </c>
      <c r="D129" s="110" t="s">
        <v>183</v>
      </c>
      <c r="E129" s="110">
        <v>45</v>
      </c>
      <c r="F129" s="110">
        <v>15</v>
      </c>
      <c r="G129" s="110">
        <v>13</v>
      </c>
      <c r="H129" s="118">
        <v>46128</v>
      </c>
      <c r="I129" s="110">
        <v>3.34</v>
      </c>
      <c r="J129" s="110">
        <v>25.9</v>
      </c>
      <c r="K129" s="119">
        <v>8.19</v>
      </c>
      <c r="L129" s="114">
        <f>K129*0.49</f>
        <v>4.0130999999999997</v>
      </c>
      <c r="M129" s="115">
        <f t="shared" ref="M129" si="70">L129*1.53</f>
        <v>6.1400429999999995</v>
      </c>
      <c r="N129" s="119">
        <v>331.1</v>
      </c>
      <c r="O129" s="119">
        <v>200</v>
      </c>
      <c r="P129" s="115">
        <f t="shared" si="50"/>
        <v>1.6555000000000002</v>
      </c>
    </row>
    <row r="130" spans="1:17" ht="14.45">
      <c r="A130" s="108" t="s">
        <v>196</v>
      </c>
      <c r="B130" s="109" t="s">
        <v>17</v>
      </c>
      <c r="C130" s="109" t="s">
        <v>155</v>
      </c>
      <c r="D130" s="110" t="s">
        <v>183</v>
      </c>
      <c r="E130" s="110">
        <v>45</v>
      </c>
      <c r="F130" s="110">
        <v>15</v>
      </c>
      <c r="G130" s="110">
        <v>14</v>
      </c>
      <c r="H130" s="118">
        <v>46135</v>
      </c>
      <c r="I130" s="110">
        <v>3.44</v>
      </c>
      <c r="J130" s="110">
        <v>27</v>
      </c>
      <c r="K130" s="119">
        <v>7.84</v>
      </c>
      <c r="L130" s="114">
        <f>K130*0.49</f>
        <v>3.8415999999999997</v>
      </c>
      <c r="M130" s="115">
        <f t="shared" ref="M130" si="71">L130*1.53</f>
        <v>5.8776479999999998</v>
      </c>
      <c r="N130" s="119">
        <v>315.60000000000002</v>
      </c>
      <c r="O130" s="119">
        <v>200</v>
      </c>
      <c r="P130" s="115">
        <f t="shared" ref="P130" si="72">N130/O130</f>
        <v>1.5780000000000001</v>
      </c>
    </row>
    <row r="131" spans="1:17" ht="14.45">
      <c r="A131" s="122" t="s">
        <v>197</v>
      </c>
      <c r="B131" s="109" t="s">
        <v>17</v>
      </c>
      <c r="C131" s="109" t="s">
        <v>138</v>
      </c>
      <c r="D131" s="110" t="s">
        <v>139</v>
      </c>
      <c r="E131" s="110">
        <v>25</v>
      </c>
      <c r="F131" s="110">
        <v>1</v>
      </c>
      <c r="G131" s="110" t="str">
        <f t="shared" ref="G131:G142" si="73">_xlfn.TEXTAFTER(A131, "-", 2)</f>
        <v>1</v>
      </c>
      <c r="H131" s="118">
        <v>46042</v>
      </c>
      <c r="I131" s="110">
        <v>2.75</v>
      </c>
      <c r="J131" s="110">
        <v>12</v>
      </c>
      <c r="K131" s="119">
        <v>32.14</v>
      </c>
      <c r="L131" s="114">
        <f t="shared" si="41"/>
        <v>15.7486</v>
      </c>
      <c r="M131" s="115">
        <f t="shared" si="42"/>
        <v>24.095358000000001</v>
      </c>
      <c r="N131" s="119">
        <v>225.26</v>
      </c>
      <c r="O131" s="119">
        <v>200</v>
      </c>
      <c r="P131" s="120">
        <f>N131/O131</f>
        <v>1.1262999999999999</v>
      </c>
    </row>
    <row r="132" spans="1:17" ht="14.45">
      <c r="A132" s="122" t="s">
        <v>198</v>
      </c>
      <c r="B132" s="109" t="s">
        <v>17</v>
      </c>
      <c r="C132" s="109" t="s">
        <v>138</v>
      </c>
      <c r="D132" s="110" t="s">
        <v>139</v>
      </c>
      <c r="E132" s="110">
        <v>25</v>
      </c>
      <c r="F132" s="110">
        <v>1</v>
      </c>
      <c r="G132" s="110" t="str">
        <f t="shared" si="73"/>
        <v>2</v>
      </c>
      <c r="H132" s="118">
        <v>46048</v>
      </c>
      <c r="I132" s="110">
        <v>2.93</v>
      </c>
      <c r="J132" s="110">
        <v>14.3</v>
      </c>
      <c r="K132" s="119">
        <v>24.68</v>
      </c>
      <c r="L132" s="114">
        <f t="shared" si="41"/>
        <v>12.0932</v>
      </c>
      <c r="M132" s="115">
        <f t="shared" si="42"/>
        <v>18.502596</v>
      </c>
      <c r="N132" s="119">
        <v>261.12</v>
      </c>
      <c r="O132" s="119">
        <v>200</v>
      </c>
      <c r="P132" s="120">
        <f t="shared" ref="P132:P144" si="74">N132/O132</f>
        <v>1.3056000000000001</v>
      </c>
    </row>
    <row r="133" spans="1:17" ht="14.45">
      <c r="A133" s="122" t="s">
        <v>199</v>
      </c>
      <c r="B133" s="109" t="s">
        <v>17</v>
      </c>
      <c r="C133" s="109" t="s">
        <v>138</v>
      </c>
      <c r="D133" s="110" t="s">
        <v>139</v>
      </c>
      <c r="E133" s="110">
        <v>25</v>
      </c>
      <c r="F133" s="110">
        <v>1</v>
      </c>
      <c r="G133" s="110" t="str">
        <f t="shared" si="73"/>
        <v>3</v>
      </c>
      <c r="H133" s="118">
        <v>46055</v>
      </c>
      <c r="I133" s="110">
        <v>3.07</v>
      </c>
      <c r="J133" s="110">
        <v>16.8</v>
      </c>
      <c r="K133" s="119">
        <v>19.239999999999998</v>
      </c>
      <c r="L133" s="114">
        <f t="shared" si="41"/>
        <v>9.4275999999999982</v>
      </c>
      <c r="M133" s="115">
        <f t="shared" si="42"/>
        <v>14.424227999999998</v>
      </c>
      <c r="N133" s="119">
        <v>284.82</v>
      </c>
      <c r="O133" s="119">
        <v>200</v>
      </c>
      <c r="P133" s="120">
        <f t="shared" si="74"/>
        <v>1.4240999999999999</v>
      </c>
    </row>
    <row r="134" spans="1:17" ht="14.45">
      <c r="A134" s="122" t="s">
        <v>200</v>
      </c>
      <c r="B134" s="109" t="s">
        <v>17</v>
      </c>
      <c r="C134" s="109" t="s">
        <v>138</v>
      </c>
      <c r="D134" s="110" t="s">
        <v>139</v>
      </c>
      <c r="E134" s="110">
        <v>25</v>
      </c>
      <c r="F134" s="110">
        <v>1</v>
      </c>
      <c r="G134" s="110" t="str">
        <f t="shared" si="73"/>
        <v>4</v>
      </c>
      <c r="H134" s="118">
        <v>46062</v>
      </c>
      <c r="I134" s="110">
        <v>3.1</v>
      </c>
      <c r="J134" s="110">
        <v>18.7</v>
      </c>
      <c r="K134" s="119">
        <v>16.34</v>
      </c>
      <c r="L134" s="114">
        <f t="shared" si="41"/>
        <v>8.0066000000000006</v>
      </c>
      <c r="M134" s="115">
        <f t="shared" si="42"/>
        <v>12.250098000000001</v>
      </c>
      <c r="N134" s="119">
        <v>320.2</v>
      </c>
      <c r="O134" s="119">
        <v>200</v>
      </c>
      <c r="P134" s="120">
        <f t="shared" si="74"/>
        <v>1.601</v>
      </c>
    </row>
    <row r="135" spans="1:17" ht="14.45">
      <c r="A135" s="122" t="s">
        <v>201</v>
      </c>
      <c r="B135" s="109" t="s">
        <v>17</v>
      </c>
      <c r="C135" s="109" t="s">
        <v>138</v>
      </c>
      <c r="D135" s="110" t="s">
        <v>139</v>
      </c>
      <c r="E135" s="110">
        <v>25</v>
      </c>
      <c r="F135" s="110">
        <v>1</v>
      </c>
      <c r="G135" s="110" t="str">
        <f t="shared" si="73"/>
        <v>5</v>
      </c>
      <c r="H135" s="118">
        <v>46069</v>
      </c>
      <c r="I135" s="110">
        <v>3.12</v>
      </c>
      <c r="J135" s="110">
        <v>19.899999999999999</v>
      </c>
      <c r="K135" s="119">
        <v>14.08</v>
      </c>
      <c r="L135" s="114">
        <f t="shared" si="41"/>
        <v>6.8991999999999996</v>
      </c>
      <c r="M135" s="115">
        <f t="shared" si="42"/>
        <v>10.555776</v>
      </c>
      <c r="N135" s="119">
        <v>326.7</v>
      </c>
      <c r="O135" s="119">
        <v>200</v>
      </c>
      <c r="P135" s="120">
        <f t="shared" si="74"/>
        <v>1.6335</v>
      </c>
    </row>
    <row r="136" spans="1:17" ht="14.45">
      <c r="A136" s="122" t="s">
        <v>202</v>
      </c>
      <c r="B136" s="109" t="s">
        <v>17</v>
      </c>
      <c r="C136" s="109" t="s">
        <v>138</v>
      </c>
      <c r="D136" s="110" t="s">
        <v>139</v>
      </c>
      <c r="E136" s="110">
        <v>25</v>
      </c>
      <c r="F136" s="110">
        <v>1</v>
      </c>
      <c r="G136" s="110" t="str">
        <f t="shared" si="73"/>
        <v>6</v>
      </c>
      <c r="H136" s="118">
        <v>46076</v>
      </c>
      <c r="I136" s="110">
        <v>3.25</v>
      </c>
      <c r="J136" s="110">
        <v>21.5</v>
      </c>
      <c r="K136" s="119">
        <v>11.96</v>
      </c>
      <c r="L136" s="114">
        <f t="shared" si="41"/>
        <v>5.8604000000000003</v>
      </c>
      <c r="M136" s="115">
        <f t="shared" si="42"/>
        <v>8.966412</v>
      </c>
      <c r="N136" s="119">
        <v>297.39999999999998</v>
      </c>
      <c r="O136" s="119">
        <v>200</v>
      </c>
      <c r="P136" s="120">
        <f t="shared" si="74"/>
        <v>1.4869999999999999</v>
      </c>
    </row>
    <row r="137" spans="1:17" ht="14.45">
      <c r="A137" s="122" t="s">
        <v>203</v>
      </c>
      <c r="B137" s="109" t="s">
        <v>17</v>
      </c>
      <c r="C137" s="109" t="s">
        <v>138</v>
      </c>
      <c r="D137" s="110" t="s">
        <v>139</v>
      </c>
      <c r="E137" s="110">
        <v>25</v>
      </c>
      <c r="F137" s="110">
        <v>1</v>
      </c>
      <c r="G137" s="110" t="str">
        <f t="shared" si="73"/>
        <v>7</v>
      </c>
      <c r="H137" s="118">
        <v>46083</v>
      </c>
      <c r="I137" s="110">
        <v>3.23</v>
      </c>
      <c r="J137" s="110">
        <v>23</v>
      </c>
      <c r="K137" s="119">
        <v>11.7</v>
      </c>
      <c r="L137" s="114">
        <f t="shared" si="41"/>
        <v>5.7329999999999997</v>
      </c>
      <c r="M137" s="115">
        <f t="shared" si="42"/>
        <v>8.77149</v>
      </c>
      <c r="N137" s="119">
        <v>313.10000000000002</v>
      </c>
      <c r="O137" s="119">
        <v>200</v>
      </c>
      <c r="P137" s="120">
        <f t="shared" si="74"/>
        <v>1.5655000000000001</v>
      </c>
    </row>
    <row r="138" spans="1:17" ht="14.45">
      <c r="A138" s="122" t="s">
        <v>204</v>
      </c>
      <c r="B138" s="109" t="s">
        <v>17</v>
      </c>
      <c r="C138" s="109" t="s">
        <v>138</v>
      </c>
      <c r="D138" s="110" t="s">
        <v>139</v>
      </c>
      <c r="E138" s="110">
        <v>25</v>
      </c>
      <c r="F138" s="110">
        <v>1</v>
      </c>
      <c r="G138" s="110" t="str">
        <f t="shared" si="73"/>
        <v>8</v>
      </c>
      <c r="H138" s="118">
        <v>46090</v>
      </c>
      <c r="I138" s="110">
        <v>3.29</v>
      </c>
      <c r="J138" s="110">
        <v>23.8</v>
      </c>
      <c r="K138" s="119">
        <v>10.56</v>
      </c>
      <c r="L138" s="114">
        <f t="shared" si="41"/>
        <v>5.1744000000000003</v>
      </c>
      <c r="M138" s="115">
        <f t="shared" si="42"/>
        <v>7.9168320000000003</v>
      </c>
      <c r="N138" s="119">
        <v>236.6</v>
      </c>
      <c r="O138" s="119">
        <v>200</v>
      </c>
      <c r="P138" s="120">
        <f t="shared" si="74"/>
        <v>1.1830000000000001</v>
      </c>
    </row>
    <row r="139" spans="1:17" ht="14.45">
      <c r="A139" s="122" t="s">
        <v>205</v>
      </c>
      <c r="B139" s="109" t="s">
        <v>17</v>
      </c>
      <c r="C139" s="109" t="s">
        <v>138</v>
      </c>
      <c r="D139" s="110" t="s">
        <v>139</v>
      </c>
      <c r="E139" s="110">
        <v>25</v>
      </c>
      <c r="F139" s="110">
        <v>1</v>
      </c>
      <c r="G139" s="118" t="str">
        <f t="shared" si="73"/>
        <v>9</v>
      </c>
      <c r="H139" s="118">
        <v>46097</v>
      </c>
      <c r="I139" s="110">
        <v>3.31</v>
      </c>
      <c r="J139" s="110">
        <v>24</v>
      </c>
      <c r="K139" s="119">
        <v>10.33</v>
      </c>
      <c r="L139" s="114">
        <f t="shared" si="41"/>
        <v>5.0617000000000001</v>
      </c>
      <c r="M139" s="115">
        <f t="shared" si="42"/>
        <v>7.7444009999999999</v>
      </c>
      <c r="N139" s="119">
        <v>292.8</v>
      </c>
      <c r="O139" s="119">
        <v>200</v>
      </c>
      <c r="P139" s="120">
        <f t="shared" si="74"/>
        <v>1.464</v>
      </c>
    </row>
    <row r="140" spans="1:17" ht="14.45">
      <c r="A140" s="122" t="s">
        <v>206</v>
      </c>
      <c r="B140" s="109" t="s">
        <v>17</v>
      </c>
      <c r="C140" s="109" t="s">
        <v>138</v>
      </c>
      <c r="D140" s="110" t="s">
        <v>139</v>
      </c>
      <c r="E140" s="110">
        <v>25</v>
      </c>
      <c r="F140" s="110">
        <v>1</v>
      </c>
      <c r="G140" s="118" t="str">
        <f t="shared" si="73"/>
        <v>10</v>
      </c>
      <c r="H140" s="118">
        <v>46104</v>
      </c>
      <c r="I140" s="110">
        <v>3.5</v>
      </c>
      <c r="J140" s="110">
        <v>24.8</v>
      </c>
      <c r="K140" s="119">
        <v>10.02</v>
      </c>
      <c r="L140" s="114">
        <f t="shared" ref="L140" si="75">K140*0.49</f>
        <v>4.9097999999999997</v>
      </c>
      <c r="M140" s="115">
        <f t="shared" ref="M140" si="76">L140*1.53</f>
        <v>7.5119939999999996</v>
      </c>
      <c r="N140" s="119">
        <v>285.39999999999998</v>
      </c>
      <c r="O140" s="119">
        <v>200</v>
      </c>
      <c r="P140" s="120">
        <f t="shared" si="74"/>
        <v>1.4269999999999998</v>
      </c>
    </row>
    <row r="141" spans="1:17" ht="14.45">
      <c r="A141" s="122" t="s">
        <v>207</v>
      </c>
      <c r="B141" s="109" t="s">
        <v>17</v>
      </c>
      <c r="C141" s="109" t="s">
        <v>138</v>
      </c>
      <c r="D141" s="110" t="s">
        <v>139</v>
      </c>
      <c r="E141" s="110">
        <v>25</v>
      </c>
      <c r="F141" s="110">
        <v>1</v>
      </c>
      <c r="G141" s="118" t="str">
        <f t="shared" si="73"/>
        <v>11</v>
      </c>
      <c r="H141" s="118">
        <v>46111</v>
      </c>
      <c r="I141" s="110">
        <v>3.42</v>
      </c>
      <c r="J141" s="110">
        <v>25.4</v>
      </c>
      <c r="K141" s="119">
        <v>9.41</v>
      </c>
      <c r="L141" s="114">
        <f t="shared" ref="L141:L142" si="77">K141*0.49</f>
        <v>4.6109</v>
      </c>
      <c r="M141" s="115">
        <f t="shared" ref="M141:M142" si="78">L141*1.53</f>
        <v>7.0546769999999999</v>
      </c>
      <c r="N141" s="119">
        <v>288.2</v>
      </c>
      <c r="O141" s="119">
        <v>200</v>
      </c>
      <c r="P141" s="120">
        <f t="shared" si="74"/>
        <v>1.4409999999999998</v>
      </c>
    </row>
    <row r="142" spans="1:17" ht="14.45">
      <c r="A142" s="122" t="s">
        <v>208</v>
      </c>
      <c r="B142" s="109" t="s">
        <v>17</v>
      </c>
      <c r="C142" s="109" t="s">
        <v>138</v>
      </c>
      <c r="D142" s="110" t="s">
        <v>139</v>
      </c>
      <c r="E142" s="110">
        <v>25</v>
      </c>
      <c r="F142" s="110">
        <v>1</v>
      </c>
      <c r="G142" s="118" t="str">
        <f t="shared" si="73"/>
        <v>12</v>
      </c>
      <c r="H142" s="118">
        <v>46118</v>
      </c>
      <c r="I142" s="110">
        <v>3.4</v>
      </c>
      <c r="J142" s="110">
        <v>26</v>
      </c>
      <c r="K142" s="119">
        <v>9.16</v>
      </c>
      <c r="L142" s="114">
        <f t="shared" si="77"/>
        <v>4.4884000000000004</v>
      </c>
      <c r="M142" s="115">
        <f t="shared" si="78"/>
        <v>6.8672520000000006</v>
      </c>
      <c r="N142" s="119">
        <v>263</v>
      </c>
      <c r="O142" s="119">
        <v>200</v>
      </c>
      <c r="P142" s="120">
        <f t="shared" si="74"/>
        <v>1.3149999999999999</v>
      </c>
    </row>
    <row r="143" spans="1:17" ht="14.45">
      <c r="A143" s="122" t="s">
        <v>209</v>
      </c>
      <c r="B143" s="109" t="s">
        <v>17</v>
      </c>
      <c r="C143" s="109" t="s">
        <v>138</v>
      </c>
      <c r="D143" s="110" t="s">
        <v>139</v>
      </c>
      <c r="E143" s="110">
        <v>25</v>
      </c>
      <c r="F143" s="110">
        <v>1</v>
      </c>
      <c r="G143" s="110">
        <v>13</v>
      </c>
      <c r="H143" s="118">
        <v>46125</v>
      </c>
      <c r="I143" s="110">
        <v>3.39</v>
      </c>
      <c r="J143" s="110">
        <v>26.3</v>
      </c>
      <c r="K143" s="119">
        <v>9.4700000000000006</v>
      </c>
      <c r="L143" s="114">
        <f t="shared" ref="L143:L144" si="79">K143*0.49</f>
        <v>4.6402999999999999</v>
      </c>
      <c r="M143" s="115">
        <f t="shared" ref="M143:M144" si="80">L143*1.53</f>
        <v>7.0996589999999999</v>
      </c>
      <c r="N143" s="119">
        <v>264.89999999999998</v>
      </c>
      <c r="O143" s="119">
        <v>200</v>
      </c>
      <c r="P143" s="120">
        <f t="shared" si="74"/>
        <v>1.3244999999999998</v>
      </c>
    </row>
    <row r="144" spans="1:17" ht="14.45">
      <c r="A144" s="122" t="s">
        <v>210</v>
      </c>
      <c r="B144" s="109" t="s">
        <v>17</v>
      </c>
      <c r="C144" s="109" t="s">
        <v>138</v>
      </c>
      <c r="D144" s="110" t="s">
        <v>139</v>
      </c>
      <c r="E144" s="110">
        <v>25</v>
      </c>
      <c r="F144" s="110">
        <v>1</v>
      </c>
      <c r="G144" s="110">
        <v>14</v>
      </c>
      <c r="H144" s="118">
        <v>46133</v>
      </c>
      <c r="I144" s="110">
        <v>3.63</v>
      </c>
      <c r="J144" s="110">
        <v>25.9</v>
      </c>
      <c r="K144" s="119">
        <v>6.48</v>
      </c>
      <c r="L144" s="114">
        <f t="shared" si="79"/>
        <v>3.1752000000000002</v>
      </c>
      <c r="M144" s="115">
        <f t="shared" si="80"/>
        <v>4.8580560000000004</v>
      </c>
      <c r="N144" s="119">
        <v>308.10000000000002</v>
      </c>
      <c r="O144" s="119">
        <v>200</v>
      </c>
      <c r="P144" s="120">
        <f t="shared" si="74"/>
        <v>1.5405000000000002</v>
      </c>
      <c r="Q144" t="s">
        <v>89</v>
      </c>
    </row>
    <row r="145" spans="1:17" ht="14.45">
      <c r="A145" s="122" t="s">
        <v>211</v>
      </c>
      <c r="B145" s="109" t="s">
        <v>17</v>
      </c>
      <c r="C145" s="109" t="s">
        <v>110</v>
      </c>
      <c r="D145" s="110" t="s">
        <v>212</v>
      </c>
      <c r="E145" s="110">
        <v>12</v>
      </c>
      <c r="F145" s="110">
        <v>210</v>
      </c>
      <c r="G145" s="109" t="s">
        <v>213</v>
      </c>
      <c r="H145" s="118">
        <v>46051</v>
      </c>
      <c r="I145" s="110">
        <v>3.04</v>
      </c>
      <c r="J145" s="110">
        <v>14.8</v>
      </c>
      <c r="K145" s="119">
        <v>24.04</v>
      </c>
      <c r="L145" s="114">
        <f t="shared" ref="L145:L152" si="81">K145*0.49</f>
        <v>11.779599999999999</v>
      </c>
      <c r="M145" s="115">
        <f t="shared" ref="M145:M152" si="82">L145*1.53</f>
        <v>18.022787999999998</v>
      </c>
      <c r="N145" s="119">
        <v>267.02</v>
      </c>
      <c r="O145" s="119">
        <v>200</v>
      </c>
      <c r="P145" s="120">
        <f t="shared" ref="P145:P156" si="83">N145/O145</f>
        <v>1.3351</v>
      </c>
    </row>
    <row r="146" spans="1:17" ht="15" customHeight="1">
      <c r="A146" s="122" t="s">
        <v>214</v>
      </c>
      <c r="B146" s="109" t="s">
        <v>17</v>
      </c>
      <c r="C146" s="109" t="s">
        <v>110</v>
      </c>
      <c r="D146" s="110" t="s">
        <v>212</v>
      </c>
      <c r="E146" s="110">
        <v>12</v>
      </c>
      <c r="F146" s="110">
        <v>210</v>
      </c>
      <c r="G146" s="110" t="s">
        <v>215</v>
      </c>
      <c r="H146" s="118">
        <v>46058</v>
      </c>
      <c r="I146" s="110">
        <v>3.17</v>
      </c>
      <c r="J146" s="110">
        <v>17.600000000000001</v>
      </c>
      <c r="K146" s="119">
        <v>18.88</v>
      </c>
      <c r="L146" s="114">
        <f t="shared" si="81"/>
        <v>9.251199999999999</v>
      </c>
      <c r="M146" s="115">
        <f t="shared" si="82"/>
        <v>14.154335999999999</v>
      </c>
      <c r="N146" s="119">
        <v>293.7</v>
      </c>
      <c r="O146" s="119">
        <v>200</v>
      </c>
      <c r="P146" s="120">
        <f t="shared" si="83"/>
        <v>1.4684999999999999</v>
      </c>
    </row>
    <row r="147" spans="1:17" ht="15" customHeight="1">
      <c r="A147" s="122" t="s">
        <v>216</v>
      </c>
      <c r="B147" s="109" t="s">
        <v>17</v>
      </c>
      <c r="C147" s="109" t="s">
        <v>110</v>
      </c>
      <c r="D147" s="110" t="s">
        <v>212</v>
      </c>
      <c r="E147" s="110">
        <v>12</v>
      </c>
      <c r="F147" s="110">
        <v>210</v>
      </c>
      <c r="G147" s="110" t="s">
        <v>217</v>
      </c>
      <c r="H147" s="118">
        <v>46065</v>
      </c>
      <c r="I147" s="110">
        <v>3.25</v>
      </c>
      <c r="J147" s="110">
        <v>19.7</v>
      </c>
      <c r="K147" s="119">
        <v>16.440000000000001</v>
      </c>
      <c r="L147" s="114">
        <f t="shared" si="81"/>
        <v>8.0556000000000001</v>
      </c>
      <c r="M147" s="115">
        <f t="shared" si="82"/>
        <v>12.325068</v>
      </c>
      <c r="N147" s="119">
        <v>308.7</v>
      </c>
      <c r="O147" s="119">
        <v>200</v>
      </c>
      <c r="P147" s="120">
        <f t="shared" si="83"/>
        <v>1.5434999999999999</v>
      </c>
    </row>
    <row r="148" spans="1:17" ht="15" customHeight="1">
      <c r="A148" s="122" t="s">
        <v>218</v>
      </c>
      <c r="B148" s="109" t="s">
        <v>17</v>
      </c>
      <c r="C148" s="109" t="s">
        <v>110</v>
      </c>
      <c r="D148" s="110" t="s">
        <v>212</v>
      </c>
      <c r="E148" s="110">
        <v>12</v>
      </c>
      <c r="F148" s="110">
        <v>210</v>
      </c>
      <c r="G148" s="110" t="s">
        <v>219</v>
      </c>
      <c r="H148" s="118">
        <v>46072</v>
      </c>
      <c r="I148" s="110">
        <v>3.31</v>
      </c>
      <c r="J148" s="110">
        <v>21.5</v>
      </c>
      <c r="K148" s="119">
        <v>16.04</v>
      </c>
      <c r="L148" s="114">
        <f t="shared" si="81"/>
        <v>7.8595999999999995</v>
      </c>
      <c r="M148" s="115">
        <f t="shared" si="82"/>
        <v>12.025188</v>
      </c>
      <c r="N148" s="119">
        <v>302.8</v>
      </c>
      <c r="O148" s="119">
        <v>200</v>
      </c>
      <c r="P148" s="120">
        <f t="shared" si="83"/>
        <v>1.514</v>
      </c>
    </row>
    <row r="149" spans="1:17" ht="15" customHeight="1">
      <c r="A149" s="122" t="s">
        <v>220</v>
      </c>
      <c r="B149" s="109" t="s">
        <v>17</v>
      </c>
      <c r="C149" s="109" t="s">
        <v>110</v>
      </c>
      <c r="D149" s="110" t="s">
        <v>212</v>
      </c>
      <c r="E149" s="110">
        <v>12</v>
      </c>
      <c r="F149" s="110">
        <v>210</v>
      </c>
      <c r="G149" s="110" t="s">
        <v>221</v>
      </c>
      <c r="H149" s="118">
        <v>46079</v>
      </c>
      <c r="I149" s="110">
        <v>3.36</v>
      </c>
      <c r="J149" s="110">
        <v>23.1</v>
      </c>
      <c r="K149" s="119">
        <v>13.12</v>
      </c>
      <c r="L149" s="114">
        <f t="shared" si="81"/>
        <v>6.4287999999999998</v>
      </c>
      <c r="M149" s="115">
        <f t="shared" si="82"/>
        <v>9.8360640000000004</v>
      </c>
      <c r="N149" s="119">
        <v>295.60000000000002</v>
      </c>
      <c r="O149" s="119">
        <v>200</v>
      </c>
      <c r="P149" s="120">
        <f t="shared" si="83"/>
        <v>1.4780000000000002</v>
      </c>
    </row>
    <row r="150" spans="1:17" ht="15" customHeight="1">
      <c r="A150" s="122" t="s">
        <v>222</v>
      </c>
      <c r="B150" s="109" t="s">
        <v>17</v>
      </c>
      <c r="C150" s="109" t="s">
        <v>110</v>
      </c>
      <c r="D150" s="110" t="s">
        <v>212</v>
      </c>
      <c r="E150" s="110">
        <v>12</v>
      </c>
      <c r="F150" s="110">
        <v>210</v>
      </c>
      <c r="G150" s="110" t="s">
        <v>223</v>
      </c>
      <c r="H150" s="118">
        <v>46086</v>
      </c>
      <c r="I150" s="110">
        <v>3.4</v>
      </c>
      <c r="J150" s="110">
        <v>23.2</v>
      </c>
      <c r="K150" s="119">
        <v>12.2</v>
      </c>
      <c r="L150" s="114">
        <f t="shared" si="81"/>
        <v>5.9779999999999998</v>
      </c>
      <c r="M150" s="115">
        <f t="shared" si="82"/>
        <v>9.1463400000000004</v>
      </c>
      <c r="N150" s="119">
        <v>299.39999999999998</v>
      </c>
      <c r="O150" s="119">
        <v>200</v>
      </c>
      <c r="P150" s="120">
        <f t="shared" si="83"/>
        <v>1.4969999999999999</v>
      </c>
    </row>
    <row r="151" spans="1:17" ht="15" customHeight="1">
      <c r="A151" s="122" t="s">
        <v>224</v>
      </c>
      <c r="B151" s="109" t="s">
        <v>17</v>
      </c>
      <c r="C151" s="109" t="s">
        <v>110</v>
      </c>
      <c r="D151" s="110" t="s">
        <v>212</v>
      </c>
      <c r="E151" s="110">
        <v>12</v>
      </c>
      <c r="F151" s="110">
        <v>210</v>
      </c>
      <c r="G151" s="110" t="s">
        <v>225</v>
      </c>
      <c r="H151" s="118">
        <v>46094</v>
      </c>
      <c r="I151" s="110">
        <v>3.83</v>
      </c>
      <c r="J151" s="110">
        <v>24.4</v>
      </c>
      <c r="K151" s="119">
        <v>6.84</v>
      </c>
      <c r="L151" s="114">
        <f t="shared" si="81"/>
        <v>3.3515999999999999</v>
      </c>
      <c r="M151" s="115">
        <f t="shared" si="82"/>
        <v>5.127948</v>
      </c>
      <c r="N151" s="119">
        <v>275.2</v>
      </c>
      <c r="O151" s="119">
        <v>200</v>
      </c>
      <c r="P151" s="120">
        <f t="shared" si="83"/>
        <v>1.3759999999999999</v>
      </c>
      <c r="Q151" t="s">
        <v>89</v>
      </c>
    </row>
    <row r="152" spans="1:17" ht="15" customHeight="1">
      <c r="A152" s="122" t="s">
        <v>226</v>
      </c>
      <c r="B152" s="109" t="s">
        <v>17</v>
      </c>
      <c r="C152" s="109" t="s">
        <v>110</v>
      </c>
      <c r="D152" s="110" t="s">
        <v>212</v>
      </c>
      <c r="E152" s="110">
        <v>12</v>
      </c>
      <c r="F152" s="110">
        <v>210</v>
      </c>
      <c r="G152" s="110" t="s">
        <v>227</v>
      </c>
      <c r="H152" s="118">
        <v>46100</v>
      </c>
      <c r="I152" s="110">
        <v>3.58</v>
      </c>
      <c r="J152" s="110">
        <v>24.6</v>
      </c>
      <c r="K152" s="119">
        <v>12.02</v>
      </c>
      <c r="L152" s="114">
        <f t="shared" si="81"/>
        <v>5.8897999999999993</v>
      </c>
      <c r="M152" s="115">
        <f t="shared" si="82"/>
        <v>9.0113939999999992</v>
      </c>
      <c r="N152" s="119">
        <v>289.5</v>
      </c>
      <c r="O152" s="119">
        <v>200</v>
      </c>
      <c r="P152" s="120">
        <f t="shared" si="83"/>
        <v>1.4475</v>
      </c>
    </row>
    <row r="153" spans="1:17" ht="15" customHeight="1">
      <c r="A153" s="122" t="s">
        <v>228</v>
      </c>
      <c r="B153" s="109" t="s">
        <v>17</v>
      </c>
      <c r="C153" s="109" t="s">
        <v>110</v>
      </c>
      <c r="D153" s="110" t="s">
        <v>212</v>
      </c>
      <c r="E153" s="110">
        <v>12</v>
      </c>
      <c r="F153" s="110">
        <v>210</v>
      </c>
      <c r="G153" s="118" t="s">
        <v>229</v>
      </c>
      <c r="H153" s="118" t="s">
        <v>84</v>
      </c>
      <c r="I153" s="110">
        <v>3.45</v>
      </c>
      <c r="J153" s="110">
        <v>24.2</v>
      </c>
      <c r="K153" s="119">
        <v>11.23</v>
      </c>
      <c r="L153" s="114">
        <f>K153*0.49</f>
        <v>5.5026999999999999</v>
      </c>
      <c r="M153" s="115">
        <f>L153*1.53</f>
        <v>8.4191310000000001</v>
      </c>
      <c r="N153" s="119">
        <v>284.8</v>
      </c>
      <c r="O153" s="119">
        <v>200</v>
      </c>
      <c r="P153" s="120">
        <f t="shared" si="83"/>
        <v>1.4240000000000002</v>
      </c>
    </row>
    <row r="154" spans="1:17" ht="15" customHeight="1">
      <c r="A154" s="122" t="s">
        <v>230</v>
      </c>
      <c r="B154" s="109" t="s">
        <v>17</v>
      </c>
      <c r="C154" s="109" t="s">
        <v>110</v>
      </c>
      <c r="D154" s="110" t="s">
        <v>212</v>
      </c>
      <c r="E154" s="110">
        <v>12</v>
      </c>
      <c r="F154" s="110">
        <v>210</v>
      </c>
      <c r="G154" s="129">
        <v>10</v>
      </c>
      <c r="H154" s="127">
        <v>46114</v>
      </c>
      <c r="I154" s="126">
        <v>3.45</v>
      </c>
      <c r="J154" s="126">
        <v>24.1</v>
      </c>
      <c r="K154" s="128">
        <v>10.89</v>
      </c>
      <c r="L154" s="114">
        <f t="shared" ref="L154:L155" si="84">K154*0.49</f>
        <v>5.3361000000000001</v>
      </c>
      <c r="M154" s="115">
        <f t="shared" ref="M154:M155" si="85">L154*1.53</f>
        <v>8.1642329999999994</v>
      </c>
      <c r="N154" s="128">
        <v>316.60000000000002</v>
      </c>
      <c r="O154" s="128">
        <v>200</v>
      </c>
      <c r="P154" s="120">
        <f t="shared" si="83"/>
        <v>1.5830000000000002</v>
      </c>
    </row>
    <row r="155" spans="1:17" ht="15" customHeight="1">
      <c r="A155" s="122" t="s">
        <v>231</v>
      </c>
      <c r="B155" s="109" t="s">
        <v>17</v>
      </c>
      <c r="C155" s="109" t="s">
        <v>110</v>
      </c>
      <c r="D155" s="110" t="s">
        <v>212</v>
      </c>
      <c r="E155" s="110">
        <v>12</v>
      </c>
      <c r="F155" s="110">
        <v>210</v>
      </c>
      <c r="G155" s="129" t="s">
        <v>232</v>
      </c>
      <c r="H155" s="127">
        <v>46121</v>
      </c>
      <c r="I155" s="126">
        <v>3.49</v>
      </c>
      <c r="J155" s="126">
        <v>24.4</v>
      </c>
      <c r="K155" s="128">
        <v>11.94</v>
      </c>
      <c r="L155" s="114">
        <f t="shared" si="84"/>
        <v>5.8506</v>
      </c>
      <c r="M155" s="115">
        <f t="shared" si="85"/>
        <v>8.9514180000000003</v>
      </c>
      <c r="N155" s="128">
        <v>276.10000000000002</v>
      </c>
      <c r="O155" s="128">
        <v>200</v>
      </c>
      <c r="P155" s="120">
        <f t="shared" si="83"/>
        <v>1.3805000000000001</v>
      </c>
    </row>
    <row r="156" spans="1:17" ht="15" customHeight="1">
      <c r="A156" s="122" t="s">
        <v>233</v>
      </c>
      <c r="B156" s="109" t="s">
        <v>17</v>
      </c>
      <c r="C156" s="109" t="s">
        <v>110</v>
      </c>
      <c r="D156" s="110" t="s">
        <v>212</v>
      </c>
      <c r="E156" s="110">
        <v>12</v>
      </c>
      <c r="F156" s="110">
        <v>210</v>
      </c>
      <c r="G156" s="129" t="s">
        <v>234</v>
      </c>
      <c r="H156" s="127">
        <v>46127</v>
      </c>
      <c r="I156" s="126">
        <v>3.65</v>
      </c>
      <c r="J156" s="126">
        <v>24.3</v>
      </c>
      <c r="K156" s="128">
        <v>10.81</v>
      </c>
      <c r="L156" s="114">
        <f t="shared" ref="L156" si="86">K156*0.49</f>
        <v>5.2968999999999999</v>
      </c>
      <c r="M156" s="115">
        <f t="shared" ref="M156" si="87">L156*1.53</f>
        <v>8.1042570000000005</v>
      </c>
      <c r="N156" s="128">
        <v>322.60000000000002</v>
      </c>
      <c r="O156" s="128">
        <v>200</v>
      </c>
      <c r="P156" s="120">
        <f t="shared" si="83"/>
        <v>1.6130000000000002</v>
      </c>
    </row>
    <row r="203" spans="13:13" ht="15" customHeight="1">
      <c r="M203" t="s">
        <v>235</v>
      </c>
    </row>
  </sheetData>
  <autoFilter ref="A1:P156" xr:uid="{A7BB3E76-0ADC-4BA6-93F6-F8702DAB5A14}">
    <filterColumn colId="3">
      <filters>
        <filter val="MARIPOSAS"/>
        <filter val="QUEBRADA DE AGUA"/>
        <filter val="RAUCO"/>
        <filter val="YUNGAY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77FA-FCCF-4A13-8370-A6F7206112CA}">
  <dimension ref="A2:M26"/>
  <sheetViews>
    <sheetView topLeftCell="A9" workbookViewId="0">
      <selection activeCell="F31" sqref="F31"/>
    </sheetView>
  </sheetViews>
  <sheetFormatPr defaultColWidth="8.85546875" defaultRowHeight="14.45"/>
  <cols>
    <col min="1" max="1" width="18.5703125" bestFit="1" customWidth="1"/>
    <col min="2" max="2" width="11.5703125" bestFit="1" customWidth="1"/>
    <col min="3" max="3" width="10.42578125" bestFit="1" customWidth="1"/>
    <col min="7" max="7" width="11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46">
        <v>2025</v>
      </c>
    </row>
    <row r="3" spans="1:13">
      <c r="A3" s="51" t="s">
        <v>0</v>
      </c>
      <c r="B3" s="52" t="s">
        <v>1</v>
      </c>
      <c r="C3" s="52" t="s">
        <v>2</v>
      </c>
      <c r="D3" s="53" t="s">
        <v>3</v>
      </c>
      <c r="E3" s="53" t="s">
        <v>4</v>
      </c>
      <c r="F3" s="53" t="s">
        <v>5</v>
      </c>
      <c r="G3" s="54" t="s">
        <v>236</v>
      </c>
      <c r="H3" s="55" t="s">
        <v>7</v>
      </c>
      <c r="I3" s="53" t="s">
        <v>8</v>
      </c>
      <c r="J3" s="53" t="s">
        <v>9</v>
      </c>
      <c r="K3" s="53" t="s">
        <v>11</v>
      </c>
      <c r="L3" s="53" t="s">
        <v>12</v>
      </c>
      <c r="M3" s="56" t="s">
        <v>15</v>
      </c>
    </row>
    <row r="4" spans="1:13">
      <c r="A4" s="57" t="s">
        <v>237</v>
      </c>
      <c r="B4" s="58" t="s">
        <v>17</v>
      </c>
      <c r="C4" s="58" t="s">
        <v>18</v>
      </c>
      <c r="D4" s="45" t="s">
        <v>19</v>
      </c>
      <c r="E4" s="45">
        <v>1</v>
      </c>
      <c r="F4" s="45">
        <v>135</v>
      </c>
      <c r="G4" s="45" t="str">
        <f t="shared" ref="G4:G12" si="0">_xlfn.TEXTAFTER(A4, "-", 2)</f>
        <v>1</v>
      </c>
      <c r="H4" s="59">
        <v>45678</v>
      </c>
      <c r="I4" s="45">
        <v>2.8</v>
      </c>
      <c r="J4" s="45">
        <v>10.1</v>
      </c>
      <c r="K4" s="45">
        <v>22.128399999999999</v>
      </c>
      <c r="L4" s="45">
        <v>33.856499999999997</v>
      </c>
      <c r="M4" s="60">
        <v>1.07</v>
      </c>
    </row>
    <row r="5" spans="1:13">
      <c r="A5" s="61" t="s">
        <v>238</v>
      </c>
      <c r="B5" s="58" t="s">
        <v>17</v>
      </c>
      <c r="C5" s="58" t="s">
        <v>18</v>
      </c>
      <c r="D5" s="45" t="s">
        <v>19</v>
      </c>
      <c r="E5" s="45">
        <v>1</v>
      </c>
      <c r="F5" s="45">
        <v>135</v>
      </c>
      <c r="G5" s="45" t="str">
        <f t="shared" si="0"/>
        <v>2</v>
      </c>
      <c r="H5" s="59">
        <v>45684</v>
      </c>
      <c r="I5" s="45">
        <v>2.74</v>
      </c>
      <c r="J5" s="45">
        <v>11.7</v>
      </c>
      <c r="K5" s="45">
        <v>14.7392</v>
      </c>
      <c r="L5" s="62">
        <v>22.550999999999998</v>
      </c>
      <c r="M5" s="60">
        <v>1.24</v>
      </c>
    </row>
    <row r="6" spans="1:13">
      <c r="A6" s="61" t="s">
        <v>239</v>
      </c>
      <c r="B6" s="58" t="s">
        <v>17</v>
      </c>
      <c r="C6" s="58" t="s">
        <v>18</v>
      </c>
      <c r="D6" s="45" t="s">
        <v>19</v>
      </c>
      <c r="E6" s="45">
        <v>1</v>
      </c>
      <c r="F6" s="45">
        <v>135</v>
      </c>
      <c r="G6" s="45" t="str">
        <f t="shared" si="0"/>
        <v>3</v>
      </c>
      <c r="H6" s="59">
        <v>45691</v>
      </c>
      <c r="I6" s="45">
        <v>2.86</v>
      </c>
      <c r="J6" s="45">
        <v>15.1</v>
      </c>
      <c r="K6" s="45">
        <v>10.584</v>
      </c>
      <c r="L6" s="45">
        <v>16.1935</v>
      </c>
      <c r="M6" s="60">
        <v>1.4</v>
      </c>
    </row>
    <row r="7" spans="1:13">
      <c r="A7" s="61" t="s">
        <v>240</v>
      </c>
      <c r="B7" s="58" t="s">
        <v>17</v>
      </c>
      <c r="C7" s="58" t="s">
        <v>18</v>
      </c>
      <c r="D7" s="45" t="s">
        <v>19</v>
      </c>
      <c r="E7" s="45">
        <v>1</v>
      </c>
      <c r="F7" s="45">
        <v>135</v>
      </c>
      <c r="G7" s="45" t="str">
        <f t="shared" si="0"/>
        <v>4</v>
      </c>
      <c r="H7" s="59">
        <v>45698</v>
      </c>
      <c r="I7" s="45">
        <v>2.99</v>
      </c>
      <c r="J7" s="45">
        <v>17.3</v>
      </c>
      <c r="K7" s="45">
        <v>8.5358000000000001</v>
      </c>
      <c r="L7" s="45">
        <v>13.059799999999999</v>
      </c>
      <c r="M7" s="60">
        <v>1.51</v>
      </c>
    </row>
    <row r="8" spans="1:13">
      <c r="A8" s="61" t="s">
        <v>241</v>
      </c>
      <c r="B8" s="58" t="s">
        <v>17</v>
      </c>
      <c r="C8" s="58" t="s">
        <v>18</v>
      </c>
      <c r="D8" s="45" t="s">
        <v>19</v>
      </c>
      <c r="E8" s="45">
        <v>1</v>
      </c>
      <c r="F8" s="45">
        <v>135</v>
      </c>
      <c r="G8" s="45" t="str">
        <f t="shared" si="0"/>
        <v>5</v>
      </c>
      <c r="H8" s="59">
        <v>45705</v>
      </c>
      <c r="I8" s="45">
        <v>3.08</v>
      </c>
      <c r="J8" s="45">
        <v>19.399999999999999</v>
      </c>
      <c r="K8" s="45">
        <v>7.1638000000000002</v>
      </c>
      <c r="L8" s="45">
        <v>10.960599999999999</v>
      </c>
      <c r="M8" s="60">
        <v>1.45</v>
      </c>
    </row>
    <row r="9" spans="1:13">
      <c r="A9" s="61" t="s">
        <v>242</v>
      </c>
      <c r="B9" s="58" t="s">
        <v>17</v>
      </c>
      <c r="C9" s="58" t="s">
        <v>18</v>
      </c>
      <c r="D9" s="45" t="s">
        <v>19</v>
      </c>
      <c r="E9" s="45">
        <v>1</v>
      </c>
      <c r="F9" s="45">
        <v>135</v>
      </c>
      <c r="G9" s="45" t="str">
        <f t="shared" si="0"/>
        <v>6</v>
      </c>
      <c r="H9" s="59">
        <v>45712</v>
      </c>
      <c r="I9" s="45">
        <v>3.2</v>
      </c>
      <c r="J9" s="45">
        <v>21</v>
      </c>
      <c r="K9" s="45">
        <v>6.1936</v>
      </c>
      <c r="L9" s="45">
        <v>8.4762000000000004</v>
      </c>
      <c r="M9" s="60">
        <v>1.5</v>
      </c>
    </row>
    <row r="10" spans="1:13">
      <c r="A10" s="61" t="s">
        <v>243</v>
      </c>
      <c r="B10" s="58" t="s">
        <v>17</v>
      </c>
      <c r="C10" s="58" t="s">
        <v>18</v>
      </c>
      <c r="D10" s="45" t="s">
        <v>19</v>
      </c>
      <c r="E10" s="45">
        <v>1</v>
      </c>
      <c r="F10" s="45">
        <v>135</v>
      </c>
      <c r="G10" s="45" t="str">
        <f t="shared" si="0"/>
        <v>7</v>
      </c>
      <c r="H10" s="59">
        <v>45719</v>
      </c>
      <c r="I10" s="45">
        <v>3.34</v>
      </c>
      <c r="J10" s="45">
        <v>22.5</v>
      </c>
      <c r="K10" s="45">
        <v>5.8701999999999996</v>
      </c>
      <c r="L10" s="45">
        <v>8.9814000000000007</v>
      </c>
      <c r="M10" s="60">
        <v>1.6</v>
      </c>
    </row>
    <row r="11" spans="1:13">
      <c r="A11" s="61" t="s">
        <v>244</v>
      </c>
      <c r="B11" s="58" t="s">
        <v>17</v>
      </c>
      <c r="C11" s="58" t="s">
        <v>18</v>
      </c>
      <c r="D11" s="45" t="s">
        <v>19</v>
      </c>
      <c r="E11" s="45">
        <v>1</v>
      </c>
      <c r="F11" s="45">
        <v>135</v>
      </c>
      <c r="G11" s="45" t="str">
        <f t="shared" si="0"/>
        <v>8</v>
      </c>
      <c r="H11" s="59">
        <v>45726</v>
      </c>
      <c r="I11" s="45">
        <v>3.31</v>
      </c>
      <c r="J11" s="45">
        <v>21.6</v>
      </c>
      <c r="K11" s="45">
        <v>4.9882</v>
      </c>
      <c r="L11" s="45">
        <v>7.6318999999999999</v>
      </c>
      <c r="M11" s="60">
        <v>1.39</v>
      </c>
    </row>
    <row r="12" spans="1:13">
      <c r="A12" s="63" t="s">
        <v>245</v>
      </c>
      <c r="B12" s="64" t="s">
        <v>17</v>
      </c>
      <c r="C12" s="64" t="s">
        <v>18</v>
      </c>
      <c r="D12" s="65" t="s">
        <v>19</v>
      </c>
      <c r="E12" s="65">
        <v>1</v>
      </c>
      <c r="F12" s="65">
        <v>135</v>
      </c>
      <c r="G12" s="65" t="str">
        <f t="shared" si="0"/>
        <v>9</v>
      </c>
      <c r="H12" s="66">
        <v>45733</v>
      </c>
      <c r="I12" s="65">
        <v>3.54</v>
      </c>
      <c r="J12" s="65">
        <v>26.1</v>
      </c>
      <c r="K12" s="65">
        <v>4.5815000000000001</v>
      </c>
      <c r="L12" s="65">
        <v>7.0096999999999996</v>
      </c>
      <c r="M12" s="67">
        <v>1.28</v>
      </c>
    </row>
    <row r="13" spans="1: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>
      <c r="A14" s="68">
        <v>2026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>
      <c r="A15" s="69" t="s">
        <v>0</v>
      </c>
      <c r="B15" s="70" t="s">
        <v>1</v>
      </c>
      <c r="C15" s="70" t="s">
        <v>2</v>
      </c>
      <c r="D15" s="71" t="s">
        <v>3</v>
      </c>
      <c r="E15" s="71" t="s">
        <v>4</v>
      </c>
      <c r="F15" s="71" t="s">
        <v>5</v>
      </c>
      <c r="G15" s="71" t="s">
        <v>6</v>
      </c>
      <c r="H15" s="72" t="s">
        <v>7</v>
      </c>
      <c r="I15" s="71" t="s">
        <v>8</v>
      </c>
      <c r="J15" s="71" t="s">
        <v>9</v>
      </c>
      <c r="K15" s="71" t="s">
        <v>11</v>
      </c>
      <c r="L15" s="71" t="s">
        <v>12</v>
      </c>
      <c r="M15" s="73" t="s">
        <v>15</v>
      </c>
    </row>
    <row r="16" spans="1:13">
      <c r="A16" s="83" t="str">
        <f>'Tabla general'!A2</f>
        <v>CH26IDAC1-H135-1</v>
      </c>
      <c r="B16" s="77" t="str">
        <f>'Tabla general'!B2</f>
        <v>Chardonnay</v>
      </c>
      <c r="C16" s="77" t="str">
        <f>'Tabla general'!C2</f>
        <v>Colchagua</v>
      </c>
      <c r="D16" s="77" t="str">
        <f>'Tabla general'!D2</f>
        <v>IDAHUE</v>
      </c>
      <c r="E16" s="77">
        <f>'Tabla general'!E2</f>
        <v>1</v>
      </c>
      <c r="F16" s="77">
        <f>'Tabla general'!F2</f>
        <v>135</v>
      </c>
      <c r="G16" s="77" t="str">
        <f>'Tabla general'!G2</f>
        <v>1</v>
      </c>
      <c r="H16" s="74">
        <f>'Tabla general'!H2</f>
        <v>46035</v>
      </c>
      <c r="I16" s="77">
        <f>'Tabla general'!I2</f>
        <v>2.81</v>
      </c>
      <c r="J16" s="77">
        <f>'Tabla general'!J2</f>
        <v>9.6999999999999993</v>
      </c>
      <c r="K16" s="77">
        <f>'Tabla general'!K2*0.49</f>
        <v>18.296600000000002</v>
      </c>
      <c r="L16" s="77">
        <f>'Tabla general'!L2*1.53</f>
        <v>27.993798000000002</v>
      </c>
      <c r="M16" s="78">
        <f>'Tabla general'!N2/'Tabla general'!O2</f>
        <v>0.96224999999999994</v>
      </c>
    </row>
    <row r="17" spans="1:13">
      <c r="A17" s="84" t="str">
        <f>'Tabla general'!A3</f>
        <v>CH26IDAC1-H135-2</v>
      </c>
      <c r="B17" s="45" t="str">
        <f>'Tabla general'!B3</f>
        <v>Chardonnay</v>
      </c>
      <c r="C17" s="45" t="str">
        <f>'Tabla general'!C3</f>
        <v>Colchagua</v>
      </c>
      <c r="D17" s="45" t="str">
        <f>'Tabla general'!D3</f>
        <v>IDAHUE</v>
      </c>
      <c r="E17" s="45">
        <f>'Tabla general'!E3</f>
        <v>1</v>
      </c>
      <c r="F17" s="45">
        <f>'Tabla general'!F3</f>
        <v>135</v>
      </c>
      <c r="G17" s="45" t="str">
        <f>'Tabla general'!G3</f>
        <v>2</v>
      </c>
      <c r="H17" s="59">
        <f>'Tabla general'!H3</f>
        <v>46044</v>
      </c>
      <c r="I17" s="45">
        <f>'Tabla general'!I3</f>
        <v>2.85</v>
      </c>
      <c r="J17" s="45">
        <f>'Tabla general'!J3</f>
        <v>12.6</v>
      </c>
      <c r="K17" s="45">
        <f>'Tabla general'!K3*0.49</f>
        <v>6.7766999999999999</v>
      </c>
      <c r="L17" s="45">
        <f>'Tabla general'!L3*1.53</f>
        <v>10.368351000000001</v>
      </c>
      <c r="M17" s="60">
        <f>'Tabla general'!N3/'Tabla general'!O3</f>
        <v>0.94480000000000008</v>
      </c>
    </row>
    <row r="18" spans="1:13">
      <c r="A18" s="84" t="str">
        <f>'Tabla general'!A4</f>
        <v>CH26IDAC1-H135-3</v>
      </c>
      <c r="B18" s="45" t="str">
        <f>'Tabla general'!B4</f>
        <v>Chardonnay</v>
      </c>
      <c r="C18" s="45" t="str">
        <f>'Tabla general'!C4</f>
        <v>Colchagua</v>
      </c>
      <c r="D18" s="45" t="str">
        <f>'Tabla general'!D4</f>
        <v>IDAHUE</v>
      </c>
      <c r="E18" s="45">
        <f>'Tabla general'!E4</f>
        <v>1</v>
      </c>
      <c r="F18" s="45">
        <f>'Tabla general'!F4</f>
        <v>135</v>
      </c>
      <c r="G18" s="45" t="str">
        <f>'Tabla general'!G4</f>
        <v>3</v>
      </c>
      <c r="H18" s="59">
        <f>'Tabla general'!H4</f>
        <v>46050</v>
      </c>
      <c r="I18" s="45">
        <f>'Tabla general'!I4</f>
        <v>2.97</v>
      </c>
      <c r="J18" s="45">
        <f>'Tabla general'!J4</f>
        <v>14.6</v>
      </c>
      <c r="K18" s="45">
        <f>'Tabla general'!K4*0.49</f>
        <v>9.3295999999999992</v>
      </c>
      <c r="L18" s="45">
        <f>'Tabla general'!L4*1.53</f>
        <v>14.274287999999999</v>
      </c>
      <c r="M18" s="60">
        <f>'Tabla general'!N4/'Tabla general'!O4</f>
        <v>1.0426</v>
      </c>
    </row>
    <row r="19" spans="1:13">
      <c r="A19" s="84" t="str">
        <f>'Tabla general'!A5</f>
        <v>CH26IDAC1-H135-4</v>
      </c>
      <c r="B19" s="45" t="str">
        <f>'Tabla general'!B5</f>
        <v>Chardonnay</v>
      </c>
      <c r="C19" s="45" t="str">
        <f>'Tabla general'!C5</f>
        <v>Colchagua</v>
      </c>
      <c r="D19" s="45" t="str">
        <f>'Tabla general'!D5</f>
        <v>IDAHUE</v>
      </c>
      <c r="E19" s="45">
        <f>'Tabla general'!E5</f>
        <v>1</v>
      </c>
      <c r="F19" s="45">
        <f>'Tabla general'!F5</f>
        <v>135</v>
      </c>
      <c r="G19" s="45" t="str">
        <f>'Tabla general'!G5</f>
        <v>4</v>
      </c>
      <c r="H19" s="59">
        <f>'Tabla general'!H5</f>
        <v>46057</v>
      </c>
      <c r="I19" s="45">
        <f>'Tabla general'!I5</f>
        <v>3.01</v>
      </c>
      <c r="J19" s="45">
        <f>'Tabla general'!J5</f>
        <v>16</v>
      </c>
      <c r="K19" s="45">
        <f>'Tabla general'!K5*0.49</f>
        <v>7.9281999999999995</v>
      </c>
      <c r="L19" s="45">
        <f>'Tabla general'!L5*1.53</f>
        <v>12.130146</v>
      </c>
      <c r="M19" s="60">
        <f>'Tabla general'!N5/'Tabla general'!O5</f>
        <v>1.1259999999999999</v>
      </c>
    </row>
    <row r="20" spans="1:13">
      <c r="A20" s="84" t="str">
        <f>'Tabla general'!A6</f>
        <v>CH26IDAC1-H135-5</v>
      </c>
      <c r="B20" s="45" t="str">
        <f>'Tabla general'!B6</f>
        <v>Chardonnay</v>
      </c>
      <c r="C20" s="45" t="str">
        <f>'Tabla general'!C6</f>
        <v>Colchagua</v>
      </c>
      <c r="D20" s="45" t="str">
        <f>'Tabla general'!D6</f>
        <v>IDAHUE</v>
      </c>
      <c r="E20" s="45">
        <f>'Tabla general'!E6</f>
        <v>1</v>
      </c>
      <c r="F20" s="45">
        <f>'Tabla general'!F6</f>
        <v>135</v>
      </c>
      <c r="G20" s="45" t="str">
        <f>'Tabla general'!G6</f>
        <v>5</v>
      </c>
      <c r="H20" s="59">
        <f>'Tabla general'!H6</f>
        <v>46064</v>
      </c>
      <c r="I20" s="45">
        <f>'Tabla general'!I6</f>
        <v>3.12</v>
      </c>
      <c r="J20" s="45">
        <f>'Tabla general'!J6</f>
        <v>18</v>
      </c>
      <c r="K20" s="45">
        <f>'Tabla general'!K6*0.49</f>
        <v>6.879599999999999</v>
      </c>
      <c r="L20" s="45">
        <f>'Tabla general'!L6*1.53</f>
        <v>10.525787999999999</v>
      </c>
      <c r="M20" s="60">
        <f>'Tabla general'!N6/'Tabla general'!O6</f>
        <v>1.212</v>
      </c>
    </row>
    <row r="21" spans="1:13">
      <c r="A21" s="84" t="str">
        <f>'Tabla general'!A7</f>
        <v>CH26IDAC1-H135-6</v>
      </c>
      <c r="B21" s="45" t="str">
        <f>'Tabla general'!B7</f>
        <v>Chardonnay</v>
      </c>
      <c r="C21" s="45" t="str">
        <f>'Tabla general'!C7</f>
        <v>Colchagua</v>
      </c>
      <c r="D21" s="45" t="str">
        <f>'Tabla general'!D7</f>
        <v>IDAHUE</v>
      </c>
      <c r="E21" s="45">
        <f>'Tabla general'!E7</f>
        <v>1</v>
      </c>
      <c r="F21" s="45">
        <f>'Tabla general'!F7</f>
        <v>135</v>
      </c>
      <c r="G21" s="45" t="str">
        <f>'Tabla general'!G7</f>
        <v>6</v>
      </c>
      <c r="H21" s="59">
        <f>'Tabla general'!H7</f>
        <v>46071</v>
      </c>
      <c r="I21" s="45">
        <f>'Tabla general'!I7</f>
        <v>3.18</v>
      </c>
      <c r="J21" s="45">
        <f>'Tabla general'!J7</f>
        <v>19.5</v>
      </c>
      <c r="K21" s="45">
        <f>'Tabla general'!K7*0.49</f>
        <v>6.2720000000000002</v>
      </c>
      <c r="L21" s="45">
        <f>'Tabla general'!L7*1.53</f>
        <v>9.5961600000000011</v>
      </c>
      <c r="M21" s="60">
        <f>'Tabla general'!N7/'Tabla general'!O7</f>
        <v>1.1499999999999999</v>
      </c>
    </row>
    <row r="22" spans="1:13">
      <c r="A22" s="84" t="str">
        <f>'Tabla general'!A8</f>
        <v>CH26IDAC1-H135-7</v>
      </c>
      <c r="B22" s="45" t="str">
        <f>'Tabla general'!B8</f>
        <v>Chardonnay</v>
      </c>
      <c r="C22" s="45" t="str">
        <f>'Tabla general'!C8</f>
        <v>Colchagua</v>
      </c>
      <c r="D22" s="45" t="str">
        <f>'Tabla general'!D8</f>
        <v>IDAHUE</v>
      </c>
      <c r="E22" s="45">
        <f>'Tabla general'!E8</f>
        <v>1</v>
      </c>
      <c r="F22" s="45">
        <f>'Tabla general'!F8</f>
        <v>135</v>
      </c>
      <c r="G22" s="45" t="str">
        <f>'Tabla general'!G8</f>
        <v>7</v>
      </c>
      <c r="H22" s="59">
        <f>'Tabla general'!H8</f>
        <v>46078</v>
      </c>
      <c r="I22" s="45">
        <f>'Tabla general'!I8</f>
        <v>3.2</v>
      </c>
      <c r="J22" s="45">
        <f>'Tabla general'!J8</f>
        <v>21.3</v>
      </c>
      <c r="K22" s="45">
        <f>'Tabla general'!K8*0.49</f>
        <v>5.0568</v>
      </c>
      <c r="L22" s="45">
        <f>'Tabla general'!L8*1.53</f>
        <v>7.736904</v>
      </c>
      <c r="M22" s="60">
        <f>'Tabla general'!N8/'Tabla general'!O8</f>
        <v>1.1859999999999999</v>
      </c>
    </row>
    <row r="23" spans="1:13">
      <c r="A23" s="84" t="str">
        <f>'Tabla general'!A9</f>
        <v>CH26IDAC1-H135-8</v>
      </c>
      <c r="B23" s="45" t="str">
        <f>'Tabla general'!B9</f>
        <v>Chardonnay</v>
      </c>
      <c r="C23" s="45" t="str">
        <f>'Tabla general'!C9</f>
        <v>Colchagua</v>
      </c>
      <c r="D23" s="45" t="str">
        <f>'Tabla general'!D9</f>
        <v>IDAHUE</v>
      </c>
      <c r="E23" s="45">
        <f>'Tabla general'!E9</f>
        <v>1</v>
      </c>
      <c r="F23" s="45">
        <f>'Tabla general'!F9</f>
        <v>135</v>
      </c>
      <c r="G23" s="45" t="str">
        <f>'Tabla general'!G9</f>
        <v>8</v>
      </c>
      <c r="H23" s="59">
        <f>'Tabla general'!H9</f>
        <v>46085</v>
      </c>
      <c r="I23" s="45">
        <f>'Tabla general'!I9</f>
        <v>3.2</v>
      </c>
      <c r="J23" s="45">
        <f>'Tabla general'!J9</f>
        <v>21.7</v>
      </c>
      <c r="K23" s="45">
        <f>'Tabla general'!K9*0.49</f>
        <v>5.0126999999999997</v>
      </c>
      <c r="L23" s="45">
        <f>'Tabla general'!L9*1.53</f>
        <v>7.6694309999999994</v>
      </c>
      <c r="M23" s="60">
        <f>'Tabla general'!N9/'Tabla general'!O9</f>
        <v>1.1625000000000001</v>
      </c>
    </row>
    <row r="24" spans="1:13">
      <c r="A24" s="84" t="str">
        <f>'Tabla general'!A10</f>
        <v>CH26IDAC1-H135-9</v>
      </c>
      <c r="B24" s="45" t="str">
        <f>'Tabla general'!B10</f>
        <v>Chardonnay</v>
      </c>
      <c r="C24" s="45" t="str">
        <f>'Tabla general'!C10</f>
        <v>Colchagua</v>
      </c>
      <c r="D24" s="45" t="str">
        <f>'Tabla general'!D10</f>
        <v>IDAHUE</v>
      </c>
      <c r="E24" s="45">
        <f>'Tabla general'!E10</f>
        <v>1</v>
      </c>
      <c r="F24" s="45">
        <f>'Tabla general'!F10</f>
        <v>135</v>
      </c>
      <c r="G24" s="45" t="str">
        <f>'Tabla general'!G10</f>
        <v>9</v>
      </c>
      <c r="H24" s="59">
        <f>'Tabla general'!H10</f>
        <v>46092</v>
      </c>
      <c r="I24" s="45">
        <f>'Tabla general'!I10</f>
        <v>3.27</v>
      </c>
      <c r="J24" s="45">
        <f>'Tabla general'!J10</f>
        <v>22.8</v>
      </c>
      <c r="K24" s="45">
        <f>'Tabla general'!K10*0.49</f>
        <v>4.6647999999999996</v>
      </c>
      <c r="L24" s="45">
        <f>'Tabla general'!L10*1.53</f>
        <v>7.1371439999999993</v>
      </c>
      <c r="M24" s="60">
        <f>'Tabla general'!N10/'Tabla general'!O10</f>
        <v>1.0585</v>
      </c>
    </row>
    <row r="25" spans="1:13">
      <c r="A25" s="84" t="str">
        <f>'Tabla general'!A11</f>
        <v>CH26IDAC1-H135-10</v>
      </c>
      <c r="B25" s="45" t="str">
        <f>'Tabla general'!B11</f>
        <v>Chardonnay</v>
      </c>
      <c r="C25" s="45" t="str">
        <f>'Tabla general'!C11</f>
        <v>Colchagua</v>
      </c>
      <c r="D25" s="45" t="str">
        <f>'Tabla general'!D11</f>
        <v>IDAHUE</v>
      </c>
      <c r="E25" s="45">
        <f>'Tabla general'!E11</f>
        <v>1</v>
      </c>
      <c r="F25" s="45">
        <f>'Tabla general'!F11</f>
        <v>135</v>
      </c>
      <c r="G25" s="45" t="str">
        <f>'Tabla general'!G11</f>
        <v>10</v>
      </c>
      <c r="H25" s="59">
        <f>'Tabla general'!H11</f>
        <v>46099</v>
      </c>
      <c r="I25" s="45">
        <f>'Tabla general'!I11</f>
        <v>3.28</v>
      </c>
      <c r="J25" s="45">
        <f>'Tabla general'!J11</f>
        <v>22.7</v>
      </c>
      <c r="K25" s="45">
        <f>'Tabla general'!K11*0.49</f>
        <v>4.508</v>
      </c>
      <c r="L25" s="45">
        <f>'Tabla general'!L11*1.53</f>
        <v>6.89724</v>
      </c>
      <c r="M25" s="60">
        <f>'Tabla general'!N11/'Tabla general'!O11</f>
        <v>1.1559999999999999</v>
      </c>
    </row>
    <row r="26" spans="1:13">
      <c r="A26" s="85" t="str">
        <f>'Tabla general'!A12</f>
        <v>CH26IDAC1-H135-11</v>
      </c>
      <c r="B26" s="65" t="str">
        <f>'Tabla general'!B12</f>
        <v>Chardonnay</v>
      </c>
      <c r="C26" s="65" t="str">
        <f>'Tabla general'!C12</f>
        <v>Colchagua</v>
      </c>
      <c r="D26" s="65" t="str">
        <f>'Tabla general'!D12</f>
        <v>IDAHUE</v>
      </c>
      <c r="E26" s="65">
        <f>'Tabla general'!E12</f>
        <v>1</v>
      </c>
      <c r="F26" s="65">
        <f>'Tabla general'!F12</f>
        <v>135</v>
      </c>
      <c r="G26" s="65" t="str">
        <f>'Tabla general'!G12</f>
        <v>11</v>
      </c>
      <c r="H26" s="66" t="str">
        <f>'Tabla general'!H12</f>
        <v>26-03-2026</v>
      </c>
      <c r="I26" s="65">
        <f>'Tabla general'!I12</f>
        <v>3.15</v>
      </c>
      <c r="J26" s="65">
        <f>'Tabla general'!J12</f>
        <v>23.3</v>
      </c>
      <c r="K26" s="65">
        <f>'Tabla general'!K12*0.49</f>
        <v>4.3757000000000001</v>
      </c>
      <c r="L26" s="65">
        <f>'Tabla general'!L12*1.53</f>
        <v>6.6948210000000001</v>
      </c>
      <c r="M26" s="67">
        <f>'Tabla general'!N12/'Tabla general'!O12</f>
        <v>1.1079999999999999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6999-329F-4CF4-825B-325915DFDAF0}">
  <dimension ref="A2:M25"/>
  <sheetViews>
    <sheetView topLeftCell="A7" workbookViewId="0">
      <selection activeCell="E21" sqref="E21"/>
    </sheetView>
  </sheetViews>
  <sheetFormatPr defaultColWidth="8.85546875" defaultRowHeight="14.45"/>
  <cols>
    <col min="1" max="1" width="18.85546875" bestFit="1" customWidth="1"/>
    <col min="2" max="2" width="15.42578125" bestFit="1" customWidth="1"/>
    <col min="3" max="3" width="10.42578125" bestFit="1" customWidth="1"/>
    <col min="7" max="7" width="11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68">
        <v>2025</v>
      </c>
    </row>
    <row r="3" spans="1:13">
      <c r="A3" s="79" t="s">
        <v>0</v>
      </c>
      <c r="B3" s="47" t="s">
        <v>1</v>
      </c>
      <c r="C3" s="47" t="s">
        <v>2</v>
      </c>
      <c r="D3" s="80" t="s">
        <v>3</v>
      </c>
      <c r="E3" s="80" t="s">
        <v>4</v>
      </c>
      <c r="F3" s="80" t="s">
        <v>5</v>
      </c>
      <c r="G3" s="80" t="s">
        <v>236</v>
      </c>
      <c r="H3" s="81" t="s">
        <v>7</v>
      </c>
      <c r="I3" s="80" t="s">
        <v>8</v>
      </c>
      <c r="J3" s="80" t="s">
        <v>9</v>
      </c>
      <c r="K3" s="80" t="s">
        <v>11</v>
      </c>
      <c r="L3" s="80" t="s">
        <v>12</v>
      </c>
      <c r="M3" s="82" t="s">
        <v>15</v>
      </c>
    </row>
    <row r="4" spans="1:13">
      <c r="A4" s="75" t="s">
        <v>246</v>
      </c>
      <c r="B4" s="76" t="s">
        <v>45</v>
      </c>
      <c r="C4" s="76" t="s">
        <v>18</v>
      </c>
      <c r="D4" s="77" t="s">
        <v>19</v>
      </c>
      <c r="E4" s="77">
        <v>9</v>
      </c>
      <c r="F4" s="77">
        <v>300</v>
      </c>
      <c r="G4" s="77" t="str">
        <f t="shared" ref="G4:G12" si="0">_xlfn.TEXTAFTER(A4, "-", 2)</f>
        <v>1</v>
      </c>
      <c r="H4" s="74">
        <v>45678</v>
      </c>
      <c r="I4" s="77">
        <v>2.66</v>
      </c>
      <c r="J4" s="77">
        <v>12.6</v>
      </c>
      <c r="K4" s="77">
        <v>17.561599999999999</v>
      </c>
      <c r="L4" s="77">
        <v>26.869199999999999</v>
      </c>
      <c r="M4" s="78">
        <v>0.77</v>
      </c>
    </row>
    <row r="5" spans="1:13">
      <c r="A5" s="61" t="s">
        <v>247</v>
      </c>
      <c r="B5" s="58" t="s">
        <v>45</v>
      </c>
      <c r="C5" s="58" t="s">
        <v>18</v>
      </c>
      <c r="D5" s="45" t="s">
        <v>19</v>
      </c>
      <c r="E5" s="45">
        <v>9</v>
      </c>
      <c r="F5" s="45">
        <v>300</v>
      </c>
      <c r="G5" s="45" t="str">
        <f t="shared" si="0"/>
        <v>2</v>
      </c>
      <c r="H5" s="59">
        <v>45684</v>
      </c>
      <c r="I5" s="45">
        <v>2.62</v>
      </c>
      <c r="J5" s="45">
        <v>15.3</v>
      </c>
      <c r="K5" s="45">
        <v>10.78</v>
      </c>
      <c r="L5" s="45">
        <v>16.493400000000001</v>
      </c>
      <c r="M5" s="60">
        <v>0.92</v>
      </c>
    </row>
    <row r="6" spans="1:13">
      <c r="A6" s="61" t="s">
        <v>248</v>
      </c>
      <c r="B6" s="58" t="s">
        <v>45</v>
      </c>
      <c r="C6" s="58" t="s">
        <v>18</v>
      </c>
      <c r="D6" s="45" t="s">
        <v>19</v>
      </c>
      <c r="E6" s="45">
        <v>9</v>
      </c>
      <c r="F6" s="45">
        <v>300</v>
      </c>
      <c r="G6" s="45" t="str">
        <f t="shared" si="0"/>
        <v>3</v>
      </c>
      <c r="H6" s="59">
        <v>45691</v>
      </c>
      <c r="I6" s="45">
        <v>2.7</v>
      </c>
      <c r="J6" s="45">
        <v>15.8</v>
      </c>
      <c r="K6" s="45">
        <v>8.1143999999999998</v>
      </c>
      <c r="L6" s="45">
        <v>12.414999999999999</v>
      </c>
      <c r="M6" s="60">
        <v>0.95</v>
      </c>
    </row>
    <row r="7" spans="1:13">
      <c r="A7" s="61" t="s">
        <v>249</v>
      </c>
      <c r="B7" s="58" t="s">
        <v>45</v>
      </c>
      <c r="C7" s="58" t="s">
        <v>18</v>
      </c>
      <c r="D7" s="45" t="s">
        <v>19</v>
      </c>
      <c r="E7" s="45">
        <v>9</v>
      </c>
      <c r="F7" s="45">
        <v>300</v>
      </c>
      <c r="G7" s="45" t="str">
        <f t="shared" si="0"/>
        <v>4</v>
      </c>
      <c r="H7" s="59">
        <v>45698</v>
      </c>
      <c r="I7" s="45">
        <v>2.87</v>
      </c>
      <c r="J7" s="45">
        <v>17</v>
      </c>
      <c r="K7" s="45">
        <v>5.6938000000000004</v>
      </c>
      <c r="L7" s="45">
        <v>8.7114999999999991</v>
      </c>
      <c r="M7" s="60">
        <v>1.19</v>
      </c>
    </row>
    <row r="8" spans="1:13">
      <c r="A8" s="61" t="s">
        <v>250</v>
      </c>
      <c r="B8" s="58" t="s">
        <v>45</v>
      </c>
      <c r="C8" s="58" t="s">
        <v>18</v>
      </c>
      <c r="D8" s="45" t="s">
        <v>19</v>
      </c>
      <c r="E8" s="45">
        <v>9</v>
      </c>
      <c r="F8" s="45">
        <v>300</v>
      </c>
      <c r="G8" s="45" t="str">
        <f t="shared" si="0"/>
        <v>5</v>
      </c>
      <c r="H8" s="59">
        <v>45705</v>
      </c>
      <c r="I8" s="45">
        <v>2.98</v>
      </c>
      <c r="J8" s="45">
        <v>19.5</v>
      </c>
      <c r="K8" s="45">
        <v>4.5178000000000003</v>
      </c>
      <c r="L8" s="45">
        <v>6.9122000000000003</v>
      </c>
      <c r="M8" s="60">
        <v>1.28</v>
      </c>
    </row>
    <row r="9" spans="1:13">
      <c r="A9" s="61" t="s">
        <v>251</v>
      </c>
      <c r="B9" s="58" t="s">
        <v>45</v>
      </c>
      <c r="C9" s="58" t="s">
        <v>18</v>
      </c>
      <c r="D9" s="45" t="s">
        <v>19</v>
      </c>
      <c r="E9" s="45">
        <v>9</v>
      </c>
      <c r="F9" s="45">
        <v>300</v>
      </c>
      <c r="G9" s="45" t="str">
        <f t="shared" si="0"/>
        <v>6</v>
      </c>
      <c r="H9" s="59">
        <v>45712</v>
      </c>
      <c r="I9" s="45">
        <v>3.06</v>
      </c>
      <c r="J9" s="45">
        <v>20.7</v>
      </c>
      <c r="K9" s="45">
        <v>4.6550000000000002</v>
      </c>
      <c r="L9" s="45">
        <v>7.1222000000000003</v>
      </c>
      <c r="M9" s="60">
        <v>1.26</v>
      </c>
    </row>
    <row r="10" spans="1:13">
      <c r="A10" s="61" t="s">
        <v>252</v>
      </c>
      <c r="B10" s="58" t="s">
        <v>45</v>
      </c>
      <c r="C10" s="58" t="s">
        <v>18</v>
      </c>
      <c r="D10" s="45" t="s">
        <v>19</v>
      </c>
      <c r="E10" s="45">
        <v>9</v>
      </c>
      <c r="F10" s="45">
        <v>300</v>
      </c>
      <c r="G10" s="45" t="str">
        <f t="shared" si="0"/>
        <v>7</v>
      </c>
      <c r="H10" s="59">
        <v>45719</v>
      </c>
      <c r="I10" s="45">
        <v>3.14</v>
      </c>
      <c r="J10" s="45">
        <v>22.2</v>
      </c>
      <c r="K10" s="45">
        <v>3.7827999999999999</v>
      </c>
      <c r="L10" s="45">
        <v>5.7877000000000001</v>
      </c>
      <c r="M10" s="60">
        <v>1.21</v>
      </c>
    </row>
    <row r="11" spans="1:13">
      <c r="A11" s="61" t="s">
        <v>253</v>
      </c>
      <c r="B11" s="58" t="s">
        <v>45</v>
      </c>
      <c r="C11" s="58" t="s">
        <v>18</v>
      </c>
      <c r="D11" s="45" t="s">
        <v>19</v>
      </c>
      <c r="E11" s="45">
        <v>9</v>
      </c>
      <c r="F11" s="45">
        <v>300</v>
      </c>
      <c r="G11" s="45" t="str">
        <f t="shared" si="0"/>
        <v>8</v>
      </c>
      <c r="H11" s="59">
        <v>45726</v>
      </c>
      <c r="I11" s="45">
        <v>3.18</v>
      </c>
      <c r="J11" s="45">
        <v>22.4</v>
      </c>
      <c r="K11" s="45">
        <v>3.6554000000000002</v>
      </c>
      <c r="L11" s="45">
        <v>5.5928000000000004</v>
      </c>
      <c r="M11" s="60">
        <v>0.91</v>
      </c>
    </row>
    <row r="12" spans="1:13">
      <c r="A12" s="63" t="s">
        <v>254</v>
      </c>
      <c r="B12" s="64" t="s">
        <v>45</v>
      </c>
      <c r="C12" s="64" t="s">
        <v>18</v>
      </c>
      <c r="D12" s="65" t="s">
        <v>19</v>
      </c>
      <c r="E12" s="65">
        <v>9</v>
      </c>
      <c r="F12" s="65">
        <v>300</v>
      </c>
      <c r="G12" s="65" t="str">
        <f t="shared" si="0"/>
        <v>9</v>
      </c>
      <c r="H12" s="66">
        <v>45733</v>
      </c>
      <c r="I12" s="65">
        <v>3.38</v>
      </c>
      <c r="J12" s="65">
        <v>23.9</v>
      </c>
      <c r="K12" s="65">
        <v>3.2290999999999999</v>
      </c>
      <c r="L12" s="65">
        <v>4.9405000000000001</v>
      </c>
      <c r="M12" s="67">
        <v>1.03</v>
      </c>
    </row>
    <row r="13" spans="1:13">
      <c r="A13" s="68"/>
    </row>
    <row r="14" spans="1:13">
      <c r="A14" s="68">
        <v>2026</v>
      </c>
    </row>
    <row r="15" spans="1:13">
      <c r="A15" s="69" t="s">
        <v>0</v>
      </c>
      <c r="B15" s="70" t="s">
        <v>1</v>
      </c>
      <c r="C15" s="70" t="s">
        <v>2</v>
      </c>
      <c r="D15" s="71" t="s">
        <v>3</v>
      </c>
      <c r="E15" s="71" t="s">
        <v>4</v>
      </c>
      <c r="F15" s="71" t="s">
        <v>5</v>
      </c>
      <c r="G15" s="71" t="s">
        <v>6</v>
      </c>
      <c r="H15" s="72" t="s">
        <v>7</v>
      </c>
      <c r="I15" s="71" t="s">
        <v>8</v>
      </c>
      <c r="J15" s="71" t="s">
        <v>9</v>
      </c>
      <c r="K15" s="71" t="s">
        <v>11</v>
      </c>
      <c r="L15" s="71" t="s">
        <v>12</v>
      </c>
      <c r="M15" s="73" t="s">
        <v>15</v>
      </c>
    </row>
    <row r="16" spans="1:13">
      <c r="A16" s="83" t="str">
        <f>'Tabla general'!A14</f>
        <v>SB26IDAC9-H300-1</v>
      </c>
      <c r="B16" s="77" t="str">
        <f>'Tabla general'!B14</f>
        <v>Sauvignon Blanc</v>
      </c>
      <c r="C16" s="77" t="str">
        <f>'Tabla general'!C14</f>
        <v>Colchagua</v>
      </c>
      <c r="D16" s="77" t="str">
        <f>'Tabla general'!D14</f>
        <v>IDAHUE</v>
      </c>
      <c r="E16" s="77">
        <f>'Tabla general'!E14</f>
        <v>9</v>
      </c>
      <c r="F16" s="77">
        <f>'Tabla general'!F14</f>
        <v>300</v>
      </c>
      <c r="G16" s="77" t="str">
        <f>'Tabla general'!G14</f>
        <v>1</v>
      </c>
      <c r="H16" s="74">
        <f>'Tabla general'!H14</f>
        <v>46044</v>
      </c>
      <c r="I16" s="77">
        <f>'Tabla general'!I14</f>
        <v>2.73</v>
      </c>
      <c r="J16" s="77">
        <f>'Tabla general'!J14</f>
        <v>15.4</v>
      </c>
      <c r="K16" s="77">
        <f>'Tabla general'!K14*0.49</f>
        <v>5.6006999999999998</v>
      </c>
      <c r="L16" s="77">
        <f>'Tabla general'!L14*1.53</f>
        <v>8.5690709999999992</v>
      </c>
      <c r="M16" s="78">
        <f>'Tabla general'!N14/200</f>
        <v>0.79920000000000002</v>
      </c>
    </row>
    <row r="17" spans="1:13">
      <c r="A17" s="84" t="str">
        <f>'Tabla general'!A15</f>
        <v>SB26IDAC9-H300-2</v>
      </c>
      <c r="B17" s="45" t="str">
        <f>'Tabla general'!B15</f>
        <v>Sauvignon Blanc</v>
      </c>
      <c r="C17" s="45" t="str">
        <f>'Tabla general'!C15</f>
        <v>Colchagua</v>
      </c>
      <c r="D17" s="45" t="str">
        <f>'Tabla general'!D15</f>
        <v>IDAHUE</v>
      </c>
      <c r="E17" s="45">
        <f>'Tabla general'!E15</f>
        <v>9</v>
      </c>
      <c r="F17" s="45">
        <f>'Tabla general'!F15</f>
        <v>300</v>
      </c>
      <c r="G17" s="45" t="str">
        <f>'Tabla general'!G15</f>
        <v>2</v>
      </c>
      <c r="H17" s="59">
        <f>'Tabla general'!H15</f>
        <v>46050</v>
      </c>
      <c r="I17" s="45">
        <f>'Tabla general'!I15</f>
        <v>2.93</v>
      </c>
      <c r="J17" s="45">
        <f>'Tabla general'!J15</f>
        <v>18.399999999999999</v>
      </c>
      <c r="K17" s="45">
        <f>'Tabla general'!K15*0.49</f>
        <v>7.5362</v>
      </c>
      <c r="L17" s="45">
        <f>'Tabla general'!L15*1.53</f>
        <v>11.530386</v>
      </c>
      <c r="M17" s="60">
        <f>'Tabla general'!N15/200</f>
        <v>0.98370000000000002</v>
      </c>
    </row>
    <row r="18" spans="1:13">
      <c r="A18" s="84" t="str">
        <f>'Tabla general'!A16</f>
        <v>SB26IDAC9-H300-3</v>
      </c>
      <c r="B18" s="45" t="str">
        <f>'Tabla general'!B16</f>
        <v>Sauvignon Blanc</v>
      </c>
      <c r="C18" s="45" t="str">
        <f>'Tabla general'!C16</f>
        <v>Colchagua</v>
      </c>
      <c r="D18" s="45" t="str">
        <f>'Tabla general'!D16</f>
        <v>IDAHUE</v>
      </c>
      <c r="E18" s="45">
        <f>'Tabla general'!E16</f>
        <v>9</v>
      </c>
      <c r="F18" s="45">
        <f>'Tabla general'!F16</f>
        <v>300</v>
      </c>
      <c r="G18" s="45" t="str">
        <f>'Tabla general'!G16</f>
        <v>3</v>
      </c>
      <c r="H18" s="59">
        <f>'Tabla general'!H16</f>
        <v>46057</v>
      </c>
      <c r="I18" s="45">
        <f>'Tabla general'!I16</f>
        <v>2.98</v>
      </c>
      <c r="J18" s="45">
        <f>'Tabla general'!J16</f>
        <v>19.8</v>
      </c>
      <c r="K18" s="45">
        <f>'Tabla general'!K16*0.49</f>
        <v>5.1744000000000003</v>
      </c>
      <c r="L18" s="45">
        <f>'Tabla general'!L16*1.53</f>
        <v>7.9168320000000003</v>
      </c>
      <c r="M18" s="60">
        <f>'Tabla general'!N16/200</f>
        <v>1.1065</v>
      </c>
    </row>
    <row r="19" spans="1:13">
      <c r="A19" s="84" t="str">
        <f>'Tabla general'!A17</f>
        <v>SB26IDAC9-H300-4</v>
      </c>
      <c r="B19" s="45" t="str">
        <f>'Tabla general'!B17</f>
        <v>Sauvignon Blanc</v>
      </c>
      <c r="C19" s="45" t="str">
        <f>'Tabla general'!C17</f>
        <v>Colchagua</v>
      </c>
      <c r="D19" s="45" t="str">
        <f>'Tabla general'!D17</f>
        <v>IDAHUE</v>
      </c>
      <c r="E19" s="45">
        <f>'Tabla general'!E17</f>
        <v>9</v>
      </c>
      <c r="F19" s="45">
        <f>'Tabla general'!F17</f>
        <v>300</v>
      </c>
      <c r="G19" s="45" t="str">
        <f>'Tabla general'!G17</f>
        <v>4</v>
      </c>
      <c r="H19" s="59">
        <f>'Tabla general'!H17</f>
        <v>46064</v>
      </c>
      <c r="I19" s="45">
        <f>'Tabla general'!I17</f>
        <v>3.13</v>
      </c>
      <c r="J19" s="45">
        <f>'Tabla general'!J17</f>
        <v>21.9</v>
      </c>
      <c r="K19" s="45">
        <f>'Tabla general'!K17*0.49</f>
        <v>4.3120000000000003</v>
      </c>
      <c r="L19" s="45">
        <f>'Tabla general'!L17*1.53</f>
        <v>6.5973600000000001</v>
      </c>
      <c r="M19" s="60">
        <f>'Tabla general'!N17/200</f>
        <v>1.171</v>
      </c>
    </row>
    <row r="20" spans="1:13">
      <c r="A20" s="84" t="str">
        <f>'Tabla general'!A18</f>
        <v>SB26IDAC9-H300-5</v>
      </c>
      <c r="B20" s="45" t="str">
        <f>'Tabla general'!B18</f>
        <v>Sauvignon Blanc</v>
      </c>
      <c r="C20" s="45" t="str">
        <f>'Tabla general'!C18</f>
        <v>Colchagua</v>
      </c>
      <c r="D20" s="45" t="str">
        <f>'Tabla general'!D18</f>
        <v>IDAHUE</v>
      </c>
      <c r="E20" s="45">
        <f>'Tabla general'!E18</f>
        <v>9</v>
      </c>
      <c r="F20" s="45">
        <f>'Tabla general'!F18</f>
        <v>300</v>
      </c>
      <c r="G20" s="45" t="str">
        <f>'Tabla general'!G18</f>
        <v>5</v>
      </c>
      <c r="H20" s="59">
        <f>'Tabla general'!H18</f>
        <v>46071</v>
      </c>
      <c r="I20" s="45">
        <f>'Tabla general'!I18</f>
        <v>3.21</v>
      </c>
      <c r="J20" s="45">
        <f>'Tabla general'!J18</f>
        <v>23.9</v>
      </c>
      <c r="K20" s="45">
        <f>'Tabla general'!K18*0.49</f>
        <v>4.3413999999999993</v>
      </c>
      <c r="L20" s="45">
        <f>'Tabla general'!L18*1.53</f>
        <v>6.6423419999999993</v>
      </c>
      <c r="M20" s="60">
        <f>'Tabla general'!N18/200</f>
        <v>1.1459999999999999</v>
      </c>
    </row>
    <row r="21" spans="1:13">
      <c r="A21" s="84" t="str">
        <f>'Tabla general'!A19</f>
        <v>SB26IDAC9-H300-6</v>
      </c>
      <c r="B21" s="45" t="str">
        <f>'Tabla general'!B19</f>
        <v>Sauvignon Blanc</v>
      </c>
      <c r="C21" s="45" t="str">
        <f>'Tabla general'!C19</f>
        <v>Colchagua</v>
      </c>
      <c r="D21" s="45" t="str">
        <f>'Tabla general'!D19</f>
        <v>IDAHUE</v>
      </c>
      <c r="E21" s="45">
        <f>'Tabla general'!E19</f>
        <v>9</v>
      </c>
      <c r="F21" s="45">
        <f>'Tabla general'!F19</f>
        <v>300</v>
      </c>
      <c r="G21" s="45" t="str">
        <f>'Tabla general'!G19</f>
        <v>6</v>
      </c>
      <c r="H21" s="59">
        <f>'Tabla general'!H19</f>
        <v>46078</v>
      </c>
      <c r="I21" s="45">
        <f>'Tabla general'!I19</f>
        <v>3.27</v>
      </c>
      <c r="J21" s="45">
        <f>'Tabla general'!J19</f>
        <v>24.8</v>
      </c>
      <c r="K21" s="45">
        <f>'Tabla general'!K19*0.49</f>
        <v>3.7534000000000001</v>
      </c>
      <c r="L21" s="45">
        <f>'Tabla general'!L19*1.53</f>
        <v>5.7427020000000004</v>
      </c>
      <c r="M21" s="60">
        <f>'Tabla general'!N19/200</f>
        <v>1.0044999999999999</v>
      </c>
    </row>
    <row r="22" spans="1:13">
      <c r="A22" s="84" t="str">
        <f>'Tabla general'!A20</f>
        <v>SB26IDAC9-H300-7</v>
      </c>
      <c r="B22" s="45" t="str">
        <f>'Tabla general'!B20</f>
        <v>Sauvignon Blanc</v>
      </c>
      <c r="C22" s="45" t="str">
        <f>'Tabla general'!C20</f>
        <v>Colchagua</v>
      </c>
      <c r="D22" s="45" t="str">
        <f>'Tabla general'!D20</f>
        <v>IDAHUE</v>
      </c>
      <c r="E22" s="45">
        <f>'Tabla general'!E20</f>
        <v>9</v>
      </c>
      <c r="F22" s="45">
        <f>'Tabla general'!F20</f>
        <v>300</v>
      </c>
      <c r="G22" s="45" t="str">
        <f>'Tabla general'!G20</f>
        <v>7</v>
      </c>
      <c r="H22" s="59">
        <f>'Tabla general'!H20</f>
        <v>46085</v>
      </c>
      <c r="I22" s="45">
        <f>'Tabla general'!I20</f>
        <v>3.32</v>
      </c>
      <c r="J22" s="45">
        <f>'Tabla general'!J20</f>
        <v>25.2</v>
      </c>
      <c r="K22" s="45">
        <f>'Tabla general'!K20*0.49</f>
        <v>3.1604999999999999</v>
      </c>
      <c r="L22" s="45">
        <f>'Tabla general'!L20*1.53</f>
        <v>4.8355649999999999</v>
      </c>
      <c r="M22" s="60">
        <f>'Tabla general'!N20/200</f>
        <v>0.97299999999999998</v>
      </c>
    </row>
    <row r="23" spans="1:13">
      <c r="A23" s="84" t="str">
        <f>'Tabla general'!A21</f>
        <v>SB26IDAC9-H300-8</v>
      </c>
      <c r="B23" s="45" t="str">
        <f>'Tabla general'!B21</f>
        <v>Sauvignon Blanc</v>
      </c>
      <c r="C23" s="45" t="str">
        <f>'Tabla general'!C21</f>
        <v>Colchagua</v>
      </c>
      <c r="D23" s="45" t="str">
        <f>'Tabla general'!D21</f>
        <v>IDAHUE</v>
      </c>
      <c r="E23" s="45">
        <f>'Tabla general'!E21</f>
        <v>9</v>
      </c>
      <c r="F23" s="45">
        <f>'Tabla general'!F21</f>
        <v>300</v>
      </c>
      <c r="G23" s="45" t="str">
        <f>'Tabla general'!G21</f>
        <v>8</v>
      </c>
      <c r="H23" s="59">
        <f>'Tabla general'!H21</f>
        <v>46092</v>
      </c>
      <c r="I23" s="45">
        <f>'Tabla general'!I21</f>
        <v>3.26</v>
      </c>
      <c r="J23" s="45">
        <f>'Tabla general'!J21</f>
        <v>26</v>
      </c>
      <c r="K23" s="45">
        <f>'Tabla general'!K21*0.49</f>
        <v>3.1213000000000002</v>
      </c>
      <c r="L23" s="45">
        <f>'Tabla general'!L21*1.53</f>
        <v>4.7755890000000001</v>
      </c>
      <c r="M23" s="60">
        <f>'Tabla general'!N21/200</f>
        <v>0.94349999999999989</v>
      </c>
    </row>
    <row r="24" spans="1:13">
      <c r="A24" s="84" t="str">
        <f>'Tabla general'!A22</f>
        <v>SB26IDAC9-H300-9</v>
      </c>
      <c r="B24" s="45" t="str">
        <f>'Tabla general'!B22</f>
        <v>Sauvignon Blanc</v>
      </c>
      <c r="C24" s="45" t="str">
        <f>'Tabla general'!C22</f>
        <v>Colchagua</v>
      </c>
      <c r="D24" s="45" t="str">
        <f>'Tabla general'!D22</f>
        <v>IDAHUE</v>
      </c>
      <c r="E24" s="45">
        <f>'Tabla general'!E22</f>
        <v>9</v>
      </c>
      <c r="F24" s="45">
        <f>'Tabla general'!F22</f>
        <v>300</v>
      </c>
      <c r="G24" s="45" t="str">
        <f>'Tabla general'!G22</f>
        <v>9</v>
      </c>
      <c r="H24" s="59">
        <f>'Tabla general'!H22</f>
        <v>46099</v>
      </c>
      <c r="I24" s="45">
        <f>'Tabla general'!I22</f>
        <v>3.44</v>
      </c>
      <c r="J24" s="45">
        <f>'Tabla general'!J22</f>
        <v>25.5</v>
      </c>
      <c r="K24" s="45">
        <f>'Tabla general'!K22*0.49</f>
        <v>3.1752000000000002</v>
      </c>
      <c r="L24" s="45">
        <f>'Tabla general'!L22*1.53</f>
        <v>4.8580560000000004</v>
      </c>
      <c r="M24" s="60">
        <f>'Tabla general'!N22/200</f>
        <v>1.0445</v>
      </c>
    </row>
    <row r="25" spans="1:13">
      <c r="A25" s="85" t="str">
        <f>'Tabla general'!A23</f>
        <v>SB26IDAC9-H300-10</v>
      </c>
      <c r="B25" s="65" t="str">
        <f>'Tabla general'!B23</f>
        <v>Sauvignon Blanc</v>
      </c>
      <c r="C25" s="65" t="str">
        <f>'Tabla general'!C23</f>
        <v>Colchagua</v>
      </c>
      <c r="D25" s="65" t="str">
        <f>'Tabla general'!D23</f>
        <v>IDAHUE</v>
      </c>
      <c r="E25" s="65">
        <f>'Tabla general'!E23</f>
        <v>9</v>
      </c>
      <c r="F25" s="65">
        <f>'Tabla general'!F23</f>
        <v>300</v>
      </c>
      <c r="G25" s="65" t="str">
        <f>'Tabla general'!G23</f>
        <v>10</v>
      </c>
      <c r="H25" s="66" t="str">
        <f>'Tabla general'!H23</f>
        <v>26-03-2026</v>
      </c>
      <c r="I25" s="65">
        <f>'Tabla general'!I23</f>
        <v>3.19</v>
      </c>
      <c r="J25" s="65">
        <f>'Tabla general'!J23</f>
        <v>25.7</v>
      </c>
      <c r="K25" s="65">
        <f>'Tabla general'!K23*0.49</f>
        <v>3.2437999999999998</v>
      </c>
      <c r="L25" s="65">
        <f>'Tabla general'!L23*1.53</f>
        <v>4.9630139999999994</v>
      </c>
      <c r="M25" s="67">
        <f>'Tabla general'!N23/200</f>
        <v>0.99650000000000005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6E0-1F32-47D5-A379-68EB5D24671D}">
  <dimension ref="A2:M29"/>
  <sheetViews>
    <sheetView topLeftCell="A7" workbookViewId="0">
      <selection activeCell="D25" sqref="D25"/>
    </sheetView>
  </sheetViews>
  <sheetFormatPr defaultColWidth="8.85546875" defaultRowHeight="14.45"/>
  <cols>
    <col min="1" max="1" width="20.85546875" bestFit="1" customWidth="1"/>
    <col min="2" max="2" width="11.5703125" bestFit="1" customWidth="1"/>
    <col min="3" max="3" width="10.42578125" bestFit="1" customWidth="1"/>
    <col min="4" max="4" width="10.140625" bestFit="1" customWidth="1"/>
    <col min="7" max="7" width="10.710937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68">
        <v>2025</v>
      </c>
    </row>
    <row r="3" spans="1:13">
      <c r="A3" s="51" t="s">
        <v>0</v>
      </c>
      <c r="B3" s="52" t="s">
        <v>1</v>
      </c>
      <c r="C3" s="52" t="s">
        <v>2</v>
      </c>
      <c r="D3" s="53" t="s">
        <v>3</v>
      </c>
      <c r="E3" s="53" t="s">
        <v>4</v>
      </c>
      <c r="F3" s="53" t="s">
        <v>5</v>
      </c>
      <c r="G3" s="54" t="s">
        <v>236</v>
      </c>
      <c r="H3" s="55" t="s">
        <v>7</v>
      </c>
      <c r="I3" s="53" t="s">
        <v>8</v>
      </c>
      <c r="J3" s="53" t="s">
        <v>9</v>
      </c>
      <c r="K3" s="53" t="s">
        <v>11</v>
      </c>
      <c r="L3" s="53" t="s">
        <v>12</v>
      </c>
      <c r="M3" s="56" t="s">
        <v>15</v>
      </c>
    </row>
    <row r="4" spans="1:13">
      <c r="A4" s="57" t="s">
        <v>255</v>
      </c>
      <c r="B4" s="58" t="s">
        <v>17</v>
      </c>
      <c r="C4" s="58" t="s">
        <v>18</v>
      </c>
      <c r="D4" s="45" t="s">
        <v>70</v>
      </c>
      <c r="E4" s="45">
        <v>92</v>
      </c>
      <c r="F4" s="45">
        <v>110</v>
      </c>
      <c r="G4" s="45" t="str">
        <f t="shared" ref="G4:G12" si="0">_xlfn.TEXTAFTER(A4, "-", 2)</f>
        <v>1</v>
      </c>
      <c r="H4" s="59">
        <v>45678</v>
      </c>
      <c r="I4" s="45">
        <v>2.7</v>
      </c>
      <c r="J4" s="45">
        <v>10.1</v>
      </c>
      <c r="K4" s="45">
        <v>20.727</v>
      </c>
      <c r="L4" s="45">
        <v>31.712299999999999</v>
      </c>
      <c r="M4" s="60">
        <v>1.1299999999999999</v>
      </c>
    </row>
    <row r="5" spans="1:13">
      <c r="A5" s="61" t="s">
        <v>256</v>
      </c>
      <c r="B5" s="58" t="s">
        <v>17</v>
      </c>
      <c r="C5" s="58" t="s">
        <v>18</v>
      </c>
      <c r="D5" s="45" t="s">
        <v>70</v>
      </c>
      <c r="E5" s="45">
        <v>92</v>
      </c>
      <c r="F5" s="45">
        <v>110</v>
      </c>
      <c r="G5" s="45" t="str">
        <f t="shared" si="0"/>
        <v>2</v>
      </c>
      <c r="H5" s="59">
        <v>45685</v>
      </c>
      <c r="I5" s="45">
        <v>2.68</v>
      </c>
      <c r="J5" s="45">
        <v>14.4</v>
      </c>
      <c r="K5" s="45">
        <v>12.553800000000001</v>
      </c>
      <c r="L5" s="45">
        <v>19.2073</v>
      </c>
      <c r="M5" s="60">
        <v>1.25</v>
      </c>
    </row>
    <row r="6" spans="1:13">
      <c r="A6" s="61" t="s">
        <v>257</v>
      </c>
      <c r="B6" s="58" t="s">
        <v>17</v>
      </c>
      <c r="C6" s="58" t="s">
        <v>18</v>
      </c>
      <c r="D6" s="45" t="s">
        <v>70</v>
      </c>
      <c r="E6" s="45">
        <v>92</v>
      </c>
      <c r="F6" s="45">
        <v>110</v>
      </c>
      <c r="G6" s="45" t="str">
        <f t="shared" si="0"/>
        <v>3</v>
      </c>
      <c r="H6" s="59">
        <v>45692</v>
      </c>
      <c r="I6" s="45">
        <v>2.78</v>
      </c>
      <c r="J6" s="45">
        <v>16.5</v>
      </c>
      <c r="K6" s="45">
        <v>9.9274000000000004</v>
      </c>
      <c r="L6" s="45">
        <v>15.1889</v>
      </c>
      <c r="M6" s="60">
        <v>1.43</v>
      </c>
    </row>
    <row r="7" spans="1:13">
      <c r="A7" s="57" t="s">
        <v>258</v>
      </c>
      <c r="B7" s="58" t="s">
        <v>17</v>
      </c>
      <c r="C7" s="58" t="s">
        <v>18</v>
      </c>
      <c r="D7" s="45" t="s">
        <v>70</v>
      </c>
      <c r="E7" s="45">
        <v>92</v>
      </c>
      <c r="F7" s="45">
        <v>110</v>
      </c>
      <c r="G7" s="45" t="str">
        <f t="shared" si="0"/>
        <v>4</v>
      </c>
      <c r="H7" s="59">
        <v>45699</v>
      </c>
      <c r="I7" s="45">
        <v>2.86</v>
      </c>
      <c r="J7" s="45">
        <v>17.399999999999999</v>
      </c>
      <c r="K7" s="45">
        <v>7.8890000000000002</v>
      </c>
      <c r="L7" s="45">
        <v>12.0702</v>
      </c>
      <c r="M7" s="60">
        <v>1.61</v>
      </c>
    </row>
    <row r="8" spans="1:13">
      <c r="A8" s="61" t="s">
        <v>259</v>
      </c>
      <c r="B8" s="58" t="s">
        <v>17</v>
      </c>
      <c r="C8" s="58" t="s">
        <v>18</v>
      </c>
      <c r="D8" s="45" t="s">
        <v>70</v>
      </c>
      <c r="E8" s="45">
        <v>92</v>
      </c>
      <c r="F8" s="45">
        <v>110</v>
      </c>
      <c r="G8" s="45" t="str">
        <f t="shared" si="0"/>
        <v>5</v>
      </c>
      <c r="H8" s="59">
        <v>45706</v>
      </c>
      <c r="I8" s="45">
        <v>2.93</v>
      </c>
      <c r="J8" s="45">
        <v>19.399999999999999</v>
      </c>
      <c r="K8" s="45">
        <v>6.7717999999999998</v>
      </c>
      <c r="L8" s="45">
        <v>10.360900000000001</v>
      </c>
      <c r="M8" s="60">
        <v>1.65</v>
      </c>
    </row>
    <row r="9" spans="1:13">
      <c r="A9" s="57" t="s">
        <v>260</v>
      </c>
      <c r="B9" s="58" t="s">
        <v>17</v>
      </c>
      <c r="C9" s="58" t="s">
        <v>18</v>
      </c>
      <c r="D9" s="45" t="s">
        <v>70</v>
      </c>
      <c r="E9" s="45">
        <v>92</v>
      </c>
      <c r="F9" s="45">
        <v>110</v>
      </c>
      <c r="G9" s="45" t="str">
        <f t="shared" si="0"/>
        <v>6</v>
      </c>
      <c r="H9" s="59">
        <v>45713</v>
      </c>
      <c r="I9" s="45">
        <v>3.07</v>
      </c>
      <c r="J9" s="45">
        <v>20.8</v>
      </c>
      <c r="K9" s="45">
        <v>6.2523999999999997</v>
      </c>
      <c r="L9" s="45">
        <v>9.5662000000000003</v>
      </c>
      <c r="M9" s="60">
        <v>1.61</v>
      </c>
    </row>
    <row r="10" spans="1:13">
      <c r="A10" s="57" t="s">
        <v>261</v>
      </c>
      <c r="B10" s="58" t="s">
        <v>17</v>
      </c>
      <c r="C10" s="58" t="s">
        <v>18</v>
      </c>
      <c r="D10" s="45" t="s">
        <v>70</v>
      </c>
      <c r="E10" s="45">
        <v>92</v>
      </c>
      <c r="F10" s="45">
        <v>110</v>
      </c>
      <c r="G10" s="45" t="str">
        <f t="shared" si="0"/>
        <v>7</v>
      </c>
      <c r="H10" s="59">
        <v>45720</v>
      </c>
      <c r="I10" s="45">
        <v>3.17</v>
      </c>
      <c r="J10" s="45">
        <v>21.8</v>
      </c>
      <c r="K10" s="45">
        <v>5.3704000000000001</v>
      </c>
      <c r="L10" s="45">
        <v>8.2166999999999994</v>
      </c>
      <c r="M10" s="60">
        <v>1.93</v>
      </c>
    </row>
    <row r="11" spans="1:13">
      <c r="A11" s="57" t="s">
        <v>262</v>
      </c>
      <c r="B11" s="58" t="s">
        <v>17</v>
      </c>
      <c r="C11" s="58" t="s">
        <v>18</v>
      </c>
      <c r="D11" s="45" t="s">
        <v>70</v>
      </c>
      <c r="E11" s="45">
        <v>92</v>
      </c>
      <c r="F11" s="45">
        <v>110</v>
      </c>
      <c r="G11" s="45" t="str">
        <f t="shared" si="0"/>
        <v>8</v>
      </c>
      <c r="H11" s="59">
        <v>45727</v>
      </c>
      <c r="I11" s="45">
        <v>3.24</v>
      </c>
      <c r="J11" s="45">
        <v>22.4</v>
      </c>
      <c r="K11" s="45">
        <v>5.3213999999999997</v>
      </c>
      <c r="L11" s="45">
        <v>8.1417000000000002</v>
      </c>
      <c r="M11" s="60">
        <v>1.91</v>
      </c>
    </row>
    <row r="12" spans="1:13">
      <c r="A12" s="90" t="s">
        <v>263</v>
      </c>
      <c r="B12" s="64" t="s">
        <v>17</v>
      </c>
      <c r="C12" s="64" t="s">
        <v>18</v>
      </c>
      <c r="D12" s="65" t="s">
        <v>70</v>
      </c>
      <c r="E12" s="65">
        <v>92</v>
      </c>
      <c r="F12" s="65">
        <v>110</v>
      </c>
      <c r="G12" s="65" t="str">
        <f t="shared" si="0"/>
        <v>9</v>
      </c>
      <c r="H12" s="66">
        <v>45733</v>
      </c>
      <c r="I12" s="65">
        <v>3.25</v>
      </c>
      <c r="J12" s="65">
        <v>23.3</v>
      </c>
      <c r="K12" s="65">
        <v>4.9931000000000001</v>
      </c>
      <c r="L12" s="65">
        <v>7.6394000000000002</v>
      </c>
      <c r="M12" s="67">
        <v>1.67</v>
      </c>
    </row>
    <row r="14" spans="1:13">
      <c r="A14" s="68">
        <v>2026</v>
      </c>
    </row>
    <row r="15" spans="1:13">
      <c r="A15" s="79" t="s">
        <v>0</v>
      </c>
      <c r="B15" s="47" t="s">
        <v>1</v>
      </c>
      <c r="C15" s="47" t="s">
        <v>2</v>
      </c>
      <c r="D15" s="80" t="s">
        <v>3</v>
      </c>
      <c r="E15" s="80" t="s">
        <v>4</v>
      </c>
      <c r="F15" s="80" t="s">
        <v>5</v>
      </c>
      <c r="G15" s="48" t="s">
        <v>236</v>
      </c>
      <c r="H15" s="81" t="s">
        <v>7</v>
      </c>
      <c r="I15" s="80" t="s">
        <v>8</v>
      </c>
      <c r="J15" s="80" t="s">
        <v>9</v>
      </c>
      <c r="K15" s="80" t="s">
        <v>11</v>
      </c>
      <c r="L15" s="80" t="s">
        <v>12</v>
      </c>
      <c r="M15" s="82" t="s">
        <v>15</v>
      </c>
    </row>
    <row r="16" spans="1:13">
      <c r="A16" s="83" t="str">
        <f>'Tabla general'!A25</f>
        <v>CH26UCUC92-H110-1</v>
      </c>
      <c r="B16" s="77" t="str">
        <f>'Tabla general'!B25</f>
        <v>Chardonnay</v>
      </c>
      <c r="C16" s="77" t="str">
        <f>'Tabla general'!C25</f>
        <v>Colchagua</v>
      </c>
      <c r="D16" s="77" t="str">
        <f>'Tabla general'!D25</f>
        <v>UCUQUER</v>
      </c>
      <c r="E16" s="77">
        <f>'Tabla general'!E25</f>
        <v>92</v>
      </c>
      <c r="F16" s="77">
        <f>'Tabla general'!F25</f>
        <v>110</v>
      </c>
      <c r="G16" s="77" t="str">
        <f>'Tabla general'!G25</f>
        <v>1</v>
      </c>
      <c r="H16" s="74">
        <f>'Tabla general'!H25</f>
        <v>46043</v>
      </c>
      <c r="I16" s="77">
        <f>'Tabla general'!I25</f>
        <v>2.94</v>
      </c>
      <c r="J16" s="77">
        <f>'Tabla general'!J25</f>
        <v>14.3</v>
      </c>
      <c r="K16" s="77">
        <f>'Tabla general'!K25*0.49</f>
        <v>9.0551999999999992</v>
      </c>
      <c r="L16" s="77">
        <f>'Tabla general'!L25*1.53</f>
        <v>13.854455999999999</v>
      </c>
      <c r="M16" s="78">
        <f>'Tabla general'!N25/200</f>
        <v>1.2240500000000001</v>
      </c>
    </row>
    <row r="17" spans="1:13">
      <c r="A17" s="84" t="str">
        <f>'Tabla general'!A26</f>
        <v>CH26UCUC92-H110-2</v>
      </c>
      <c r="B17" s="45" t="str">
        <f>'Tabla general'!B26</f>
        <v>Chardonnay</v>
      </c>
      <c r="C17" s="45" t="str">
        <f>'Tabla general'!C26</f>
        <v>Colchagua</v>
      </c>
      <c r="D17" s="45" t="str">
        <f>'Tabla general'!D26</f>
        <v>UCUQUER</v>
      </c>
      <c r="E17" s="45">
        <f>'Tabla general'!E26</f>
        <v>92</v>
      </c>
      <c r="F17" s="45">
        <f>'Tabla general'!F26</f>
        <v>110</v>
      </c>
      <c r="G17" s="45" t="str">
        <f>'Tabla general'!G26</f>
        <v>2</v>
      </c>
      <c r="H17" s="59">
        <f>'Tabla general'!H26</f>
        <v>46049</v>
      </c>
      <c r="I17" s="45">
        <f>'Tabla general'!I26</f>
        <v>2.85</v>
      </c>
      <c r="J17" s="45">
        <f>'Tabla general'!J26</f>
        <v>15.6</v>
      </c>
      <c r="K17" s="45">
        <f>'Tabla general'!K26*0.49</f>
        <v>9.604000000000001</v>
      </c>
      <c r="L17" s="45">
        <f>'Tabla general'!L26*1.53</f>
        <v>14.694120000000002</v>
      </c>
      <c r="M17" s="60">
        <f>'Tabla general'!N26/200</f>
        <v>1.3183</v>
      </c>
    </row>
    <row r="18" spans="1:13">
      <c r="A18" s="84" t="str">
        <f>'Tabla general'!A27</f>
        <v>CH26UCUC92-H110-3</v>
      </c>
      <c r="B18" s="45" t="str">
        <f>'Tabla general'!B27</f>
        <v>Chardonnay</v>
      </c>
      <c r="C18" s="45" t="str">
        <f>'Tabla general'!C27</f>
        <v>Colchagua</v>
      </c>
      <c r="D18" s="45" t="str">
        <f>'Tabla general'!D27</f>
        <v>UCUQUER</v>
      </c>
      <c r="E18" s="45">
        <f>'Tabla general'!E27</f>
        <v>92</v>
      </c>
      <c r="F18" s="45">
        <f>'Tabla general'!F27</f>
        <v>110</v>
      </c>
      <c r="G18" s="45" t="str">
        <f>'Tabla general'!G27</f>
        <v>3</v>
      </c>
      <c r="H18" s="59">
        <f>'Tabla general'!H27</f>
        <v>46056</v>
      </c>
      <c r="I18" s="45">
        <f>'Tabla general'!I27</f>
        <v>2.96</v>
      </c>
      <c r="J18" s="45">
        <f>'Tabla general'!J27</f>
        <v>17.3</v>
      </c>
      <c r="K18" s="45">
        <f>'Tabla general'!K27*0.49</f>
        <v>7.1833999999999998</v>
      </c>
      <c r="L18" s="45">
        <f>'Tabla general'!L27*1.53</f>
        <v>10.990601999999999</v>
      </c>
      <c r="M18" s="60">
        <f>'Tabla general'!N27/200</f>
        <v>1.3419999999999999</v>
      </c>
    </row>
    <row r="19" spans="1:13">
      <c r="A19" s="84" t="str">
        <f>'Tabla general'!A28</f>
        <v>CH26UCUC92-H110-4</v>
      </c>
      <c r="B19" s="45" t="str">
        <f>'Tabla general'!B28</f>
        <v>Chardonnay</v>
      </c>
      <c r="C19" s="45" t="str">
        <f>'Tabla general'!C28</f>
        <v>Colchagua</v>
      </c>
      <c r="D19" s="45" t="str">
        <f>'Tabla general'!D28</f>
        <v>UCUQUER</v>
      </c>
      <c r="E19" s="45">
        <f>'Tabla general'!E28</f>
        <v>92</v>
      </c>
      <c r="F19" s="45">
        <f>'Tabla general'!F28</f>
        <v>110</v>
      </c>
      <c r="G19" s="45" t="str">
        <f>'Tabla general'!G28</f>
        <v>4</v>
      </c>
      <c r="H19" s="59">
        <f>'Tabla general'!H28</f>
        <v>46063</v>
      </c>
      <c r="I19" s="45">
        <f>'Tabla general'!I28</f>
        <v>3.12</v>
      </c>
      <c r="J19" s="45">
        <f>'Tabla general'!J28</f>
        <v>19.8</v>
      </c>
      <c r="K19" s="45">
        <f>'Tabla general'!K28*0.49</f>
        <v>5.9387999999999996</v>
      </c>
      <c r="L19" s="45">
        <f>'Tabla general'!L28*1.53</f>
        <v>9.0863639999999997</v>
      </c>
      <c r="M19" s="60">
        <f>'Tabla general'!N28/200</f>
        <v>1.3869999999999998</v>
      </c>
    </row>
    <row r="20" spans="1:13">
      <c r="A20" s="84" t="str">
        <f>'Tabla general'!A29</f>
        <v>CH26UCUC92-H110-5</v>
      </c>
      <c r="B20" s="45" t="str">
        <f>'Tabla general'!B29</f>
        <v>Chardonnay</v>
      </c>
      <c r="C20" s="45" t="str">
        <f>'Tabla general'!C29</f>
        <v>Colchagua</v>
      </c>
      <c r="D20" s="45" t="str">
        <f>'Tabla general'!D29</f>
        <v>UCUQUER</v>
      </c>
      <c r="E20" s="45">
        <f>'Tabla general'!E29</f>
        <v>92</v>
      </c>
      <c r="F20" s="45">
        <f>'Tabla general'!F29</f>
        <v>110</v>
      </c>
      <c r="G20" s="45" t="str">
        <f>'Tabla general'!G29</f>
        <v>5</v>
      </c>
      <c r="H20" s="59">
        <f>'Tabla general'!H29</f>
        <v>46070</v>
      </c>
      <c r="I20" s="45">
        <f>'Tabla general'!I29</f>
        <v>3.16</v>
      </c>
      <c r="J20" s="45">
        <f>'Tabla general'!J29</f>
        <v>21.7</v>
      </c>
      <c r="K20" s="45">
        <f>'Tabla general'!K29*0.49</f>
        <v>5.5369999999999999</v>
      </c>
      <c r="L20" s="45">
        <f>'Tabla general'!L29*1.53</f>
        <v>8.4716100000000001</v>
      </c>
      <c r="M20" s="60">
        <f>'Tabla general'!N29/200</f>
        <v>1.405</v>
      </c>
    </row>
    <row r="21" spans="1:13">
      <c r="A21" s="84" t="str">
        <f>'Tabla general'!A30</f>
        <v>CH26UCUC92-H110-6</v>
      </c>
      <c r="B21" s="45" t="str">
        <f>'Tabla general'!B30</f>
        <v>Chardonnay</v>
      </c>
      <c r="C21" s="45" t="str">
        <f>'Tabla general'!C30</f>
        <v>Colchagua</v>
      </c>
      <c r="D21" s="45" t="str">
        <f>'Tabla general'!D30</f>
        <v>UCUQUER</v>
      </c>
      <c r="E21" s="45">
        <f>'Tabla general'!E30</f>
        <v>92</v>
      </c>
      <c r="F21" s="45">
        <f>'Tabla general'!F30</f>
        <v>110</v>
      </c>
      <c r="G21" s="45" t="str">
        <f>'Tabla general'!G30</f>
        <v>6</v>
      </c>
      <c r="H21" s="59">
        <f>'Tabla general'!H30</f>
        <v>46077</v>
      </c>
      <c r="I21" s="45">
        <f>'Tabla general'!I30</f>
        <v>3.14</v>
      </c>
      <c r="J21" s="45">
        <f>'Tabla general'!J30</f>
        <v>23.1</v>
      </c>
      <c r="K21" s="45">
        <f>'Tabla general'!K30*0.49</f>
        <v>4.9097999999999997</v>
      </c>
      <c r="L21" s="45">
        <f>'Tabla general'!L30*1.53</f>
        <v>7.5119939999999996</v>
      </c>
      <c r="M21" s="60">
        <f>'Tabla general'!N30/200</f>
        <v>1.3940000000000001</v>
      </c>
    </row>
    <row r="22" spans="1:13">
      <c r="A22" s="84" t="str">
        <f>'Tabla general'!A31</f>
        <v>CH26UCUC92-H110-7</v>
      </c>
      <c r="B22" s="45" t="str">
        <f>'Tabla general'!B31</f>
        <v>Chardonnay</v>
      </c>
      <c r="C22" s="45" t="str">
        <f>'Tabla general'!C31</f>
        <v>Colchagua</v>
      </c>
      <c r="D22" s="45" t="str">
        <f>'Tabla general'!D31</f>
        <v>UCUQUER</v>
      </c>
      <c r="E22" s="45">
        <f>'Tabla general'!E31</f>
        <v>92</v>
      </c>
      <c r="F22" s="45">
        <f>'Tabla general'!F31</f>
        <v>110</v>
      </c>
      <c r="G22" s="45" t="str">
        <f>'Tabla general'!G31</f>
        <v>7</v>
      </c>
      <c r="H22" s="59">
        <f>'Tabla general'!H31</f>
        <v>46084</v>
      </c>
      <c r="I22" s="45">
        <f>'Tabla general'!I31</f>
        <v>3.16</v>
      </c>
      <c r="J22" s="45">
        <f>'Tabla general'!J31</f>
        <v>23.4</v>
      </c>
      <c r="K22" s="45">
        <f>'Tabla general'!K31*0.49</f>
        <v>4.6795</v>
      </c>
      <c r="L22" s="45">
        <f>'Tabla general'!L31*1.53</f>
        <v>7.1596349999999997</v>
      </c>
      <c r="M22" s="60">
        <f>'Tabla general'!N31/200</f>
        <v>1.3884999999999998</v>
      </c>
    </row>
    <row r="23" spans="1:13">
      <c r="A23" s="84" t="str">
        <f>'Tabla general'!A32</f>
        <v>CH26UCUC92-H110-8</v>
      </c>
      <c r="B23" s="45" t="str">
        <f>'Tabla general'!B32</f>
        <v>Chardonnay</v>
      </c>
      <c r="C23" s="45" t="str">
        <f>'Tabla general'!C32</f>
        <v>Colchagua</v>
      </c>
      <c r="D23" s="45" t="str">
        <f>'Tabla general'!D32</f>
        <v>UCUQUER</v>
      </c>
      <c r="E23" s="45">
        <f>'Tabla general'!E32</f>
        <v>92</v>
      </c>
      <c r="F23" s="45">
        <f>'Tabla general'!F32</f>
        <v>110</v>
      </c>
      <c r="G23" s="45" t="str">
        <f>'Tabla general'!G32</f>
        <v>8</v>
      </c>
      <c r="H23" s="59">
        <f>'Tabla general'!H32</f>
        <v>46091</v>
      </c>
      <c r="I23" s="45">
        <f>'Tabla general'!I32</f>
        <v>3.11</v>
      </c>
      <c r="J23" s="45">
        <f>'Tabla general'!J32</f>
        <v>25.1</v>
      </c>
      <c r="K23" s="45">
        <f>'Tabla general'!K32*0.49</f>
        <v>4.5227000000000004</v>
      </c>
      <c r="L23" s="45">
        <f>'Tabla general'!L32*1.53</f>
        <v>6.9197310000000005</v>
      </c>
      <c r="M23" s="60">
        <f>'Tabla general'!N32/200</f>
        <v>1.248</v>
      </c>
    </row>
    <row r="24" spans="1:13">
      <c r="A24" s="84" t="str">
        <f>'Tabla general'!A33</f>
        <v>CH26UCUC92-H110-9</v>
      </c>
      <c r="B24" s="45" t="str">
        <f>'Tabla general'!B33</f>
        <v>Chardonnay</v>
      </c>
      <c r="C24" s="45" t="str">
        <f>'Tabla general'!C33</f>
        <v>Colchagua</v>
      </c>
      <c r="D24" s="45" t="str">
        <f>'Tabla general'!D33</f>
        <v>UCUQUER</v>
      </c>
      <c r="E24" s="45">
        <f>'Tabla general'!E33</f>
        <v>92</v>
      </c>
      <c r="F24" s="45">
        <f>'Tabla general'!F33</f>
        <v>110</v>
      </c>
      <c r="G24" s="45" t="str">
        <f>'Tabla general'!G33</f>
        <v>9</v>
      </c>
      <c r="H24" s="59">
        <f>'Tabla general'!H33</f>
        <v>46098</v>
      </c>
      <c r="I24" s="45">
        <f>'Tabla general'!I33</f>
        <v>3.21</v>
      </c>
      <c r="J24" s="45">
        <f>'Tabla general'!J33</f>
        <v>23.6</v>
      </c>
      <c r="K24" s="45">
        <f>'Tabla general'!K33*0.49</f>
        <v>4.2434000000000003</v>
      </c>
      <c r="L24" s="45">
        <f>'Tabla general'!L33*1.53</f>
        <v>6.4924020000000002</v>
      </c>
      <c r="M24" s="60">
        <f>'Tabla general'!N33/200</f>
        <v>1.242</v>
      </c>
    </row>
    <row r="25" spans="1:13">
      <c r="A25" s="84" t="str">
        <f>'Tabla general'!A34</f>
        <v>CH26UCUC92-H110-10</v>
      </c>
      <c r="B25" s="45" t="str">
        <f>'Tabla general'!B34</f>
        <v>Chardonnay</v>
      </c>
      <c r="C25" s="45" t="str">
        <f>'Tabla general'!C34</f>
        <v>Colchagua</v>
      </c>
      <c r="D25" s="45" t="str">
        <f>'Tabla general'!D34</f>
        <v>UCUQUER</v>
      </c>
      <c r="E25" s="45">
        <f>'Tabla general'!E34</f>
        <v>92</v>
      </c>
      <c r="F25" s="45">
        <f>'Tabla general'!F34</f>
        <v>110</v>
      </c>
      <c r="G25" s="45" t="str">
        <f>'Tabla general'!G34</f>
        <v>10</v>
      </c>
      <c r="H25" s="59" t="str">
        <f>'Tabla general'!H34</f>
        <v>-</v>
      </c>
      <c r="I25" s="45">
        <f>'Tabla general'!I34</f>
        <v>3.2</v>
      </c>
      <c r="J25" s="45">
        <f>'Tabla general'!J34</f>
        <v>25.8</v>
      </c>
      <c r="K25" s="45">
        <f>'Tabla general'!K34*0.49</f>
        <v>4.0865999999999998</v>
      </c>
      <c r="L25" s="45">
        <f>'Tabla general'!L34*1.53</f>
        <v>6.2524980000000001</v>
      </c>
      <c r="M25" s="60">
        <f>'Tabla general'!N34/200</f>
        <v>1.2625</v>
      </c>
    </row>
    <row r="26" spans="1:13">
      <c r="A26" s="84" t="str">
        <f>'Tabla general'!A35</f>
        <v>CH26UCUC92-H110-11</v>
      </c>
      <c r="B26" s="45" t="str">
        <f>'Tabla general'!B35</f>
        <v>Chardonnay</v>
      </c>
      <c r="C26" s="45" t="str">
        <f>'Tabla general'!C35</f>
        <v>Colchagua</v>
      </c>
      <c r="D26" s="45" t="str">
        <f>'Tabla general'!D35</f>
        <v>UCUQUER</v>
      </c>
      <c r="E26" s="45">
        <f>'Tabla general'!E35</f>
        <v>92</v>
      </c>
      <c r="F26" s="45">
        <f>'Tabla general'!F35</f>
        <v>110</v>
      </c>
      <c r="G26" s="45" t="str">
        <f>'Tabla general'!G35</f>
        <v>11</v>
      </c>
      <c r="H26" s="59">
        <f>'Tabla general'!H35</f>
        <v>46112</v>
      </c>
      <c r="I26" s="45">
        <f>'Tabla general'!I35</f>
        <v>3.26</v>
      </c>
      <c r="J26" s="45">
        <f>'Tabla general'!J35</f>
        <v>25.8</v>
      </c>
      <c r="K26" s="45">
        <f>'Tabla general'!K35*0.49</f>
        <v>3.6406999999999998</v>
      </c>
      <c r="L26" s="45">
        <f>'Tabla general'!L35*1.53</f>
        <v>5.570271</v>
      </c>
      <c r="M26" s="60">
        <f>'Tabla general'!N35/200</f>
        <v>1.3215000000000001</v>
      </c>
    </row>
    <row r="27" spans="1:13">
      <c r="A27" s="84" t="str">
        <f>'Tabla general'!A36</f>
        <v>CH26UCUC92-H110-12</v>
      </c>
      <c r="B27" s="45" t="str">
        <f>'Tabla general'!B36</f>
        <v>Chardonnay</v>
      </c>
      <c r="C27" s="45" t="str">
        <f>'Tabla general'!C36</f>
        <v>Colchagua</v>
      </c>
      <c r="D27" s="45" t="str">
        <f>'Tabla general'!D36</f>
        <v>UCUQUER</v>
      </c>
      <c r="E27" s="45">
        <f>'Tabla general'!E36</f>
        <v>92</v>
      </c>
      <c r="F27" s="45">
        <f>'Tabla general'!F36</f>
        <v>110</v>
      </c>
      <c r="G27" s="45">
        <f>'Tabla general'!G36</f>
        <v>12</v>
      </c>
      <c r="H27" s="59">
        <f>'Tabla general'!H36</f>
        <v>46119</v>
      </c>
      <c r="I27" s="45">
        <f>'Tabla general'!I36</f>
        <v>3.18</v>
      </c>
      <c r="J27" s="45">
        <f>'Tabla general'!J36</f>
        <v>26.2</v>
      </c>
      <c r="K27" s="45">
        <f>'Tabla general'!K36*0.49</f>
        <v>3.6701000000000001</v>
      </c>
      <c r="L27" s="45">
        <f>'Tabla general'!L36*1.53</f>
        <v>5.615253</v>
      </c>
      <c r="M27" s="60">
        <f>'Tabla general'!N36/200</f>
        <v>1.3</v>
      </c>
    </row>
    <row r="28" spans="1:13">
      <c r="A28" s="84" t="str">
        <f>'Tabla general'!A37</f>
        <v>CH26UCUC92-H110-13</v>
      </c>
      <c r="B28" s="45" t="str">
        <f>'Tabla general'!B37</f>
        <v>Chardonnay</v>
      </c>
      <c r="C28" s="45" t="str">
        <f>'Tabla general'!C37</f>
        <v>Colchagua</v>
      </c>
      <c r="D28" s="45" t="str">
        <f>'Tabla general'!D37</f>
        <v>UCUQUER</v>
      </c>
      <c r="E28" s="45">
        <f>'Tabla general'!E37</f>
        <v>92</v>
      </c>
      <c r="F28" s="45">
        <f>'Tabla general'!F37</f>
        <v>110</v>
      </c>
      <c r="G28" s="45">
        <f>'Tabla general'!G37</f>
        <v>13</v>
      </c>
      <c r="H28" s="59">
        <f>'Tabla general'!H37</f>
        <v>46126</v>
      </c>
      <c r="I28" s="45">
        <f>'Tabla general'!I37</f>
        <v>3.43</v>
      </c>
      <c r="J28" s="45">
        <f>'Tabla general'!J37</f>
        <v>25.7</v>
      </c>
      <c r="K28" s="45">
        <f>'Tabla general'!K37*0.49</f>
        <v>2.5284</v>
      </c>
      <c r="L28" s="45">
        <f>'Tabla general'!L37*1.53</f>
        <v>3.868452</v>
      </c>
      <c r="M28" s="60">
        <f>'Tabla general'!N37/200</f>
        <v>1.4650000000000001</v>
      </c>
    </row>
    <row r="29" spans="1:13">
      <c r="A29" s="85" t="str">
        <f>'Tabla general'!A38</f>
        <v>CH26UCUC92-H110-14</v>
      </c>
      <c r="B29" s="65" t="str">
        <f>'Tabla general'!B38</f>
        <v>Chardonnay</v>
      </c>
      <c r="C29" s="65" t="str">
        <f>'Tabla general'!C38</f>
        <v>Colchagua</v>
      </c>
      <c r="D29" s="65" t="str">
        <f>'Tabla general'!D38</f>
        <v>UCUQUER</v>
      </c>
      <c r="E29" s="65">
        <f>'Tabla general'!E38</f>
        <v>92</v>
      </c>
      <c r="F29" s="65">
        <f>'Tabla general'!F38</f>
        <v>110</v>
      </c>
      <c r="G29" s="65">
        <f>'Tabla general'!G38</f>
        <v>14</v>
      </c>
      <c r="H29" s="66">
        <f>'Tabla general'!H38</f>
        <v>46132</v>
      </c>
      <c r="I29" s="65">
        <f>'Tabla general'!I38</f>
        <v>3.26</v>
      </c>
      <c r="J29" s="65">
        <f>'Tabla general'!J38</f>
        <v>26.1</v>
      </c>
      <c r="K29" s="65">
        <f>'Tabla general'!K38*0.49</f>
        <v>4.165</v>
      </c>
      <c r="L29" s="65">
        <f>'Tabla general'!L38*1.53</f>
        <v>6.3724499999999997</v>
      </c>
      <c r="M29" s="67">
        <f>'Tabla general'!N38/200</f>
        <v>1.425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7A7F-3302-4238-9B3B-019F54CD130D}">
  <dimension ref="A2:M29"/>
  <sheetViews>
    <sheetView topLeftCell="A9" workbookViewId="0">
      <selection activeCell="E21" sqref="E21"/>
    </sheetView>
  </sheetViews>
  <sheetFormatPr defaultColWidth="8.85546875" defaultRowHeight="14.45"/>
  <cols>
    <col min="1" max="1" width="19.42578125" bestFit="1" customWidth="1"/>
    <col min="2" max="2" width="15.42578125" bestFit="1" customWidth="1"/>
    <col min="3" max="3" width="10.42578125" bestFit="1" customWidth="1"/>
    <col min="4" max="4" width="10.140625" bestFit="1" customWidth="1"/>
    <col min="7" max="7" width="10.710937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68">
        <v>2025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95" t="s">
        <v>0</v>
      </c>
      <c r="B3" s="96" t="s">
        <v>1</v>
      </c>
      <c r="C3" s="96" t="s">
        <v>2</v>
      </c>
      <c r="D3" s="97" t="s">
        <v>3</v>
      </c>
      <c r="E3" s="97" t="s">
        <v>4</v>
      </c>
      <c r="F3" s="97" t="s">
        <v>5</v>
      </c>
      <c r="G3" s="97" t="s">
        <v>236</v>
      </c>
      <c r="H3" s="98" t="s">
        <v>7</v>
      </c>
      <c r="I3" s="97" t="s">
        <v>8</v>
      </c>
      <c r="J3" s="97" t="s">
        <v>9</v>
      </c>
      <c r="K3" s="97" t="s">
        <v>11</v>
      </c>
      <c r="L3" s="97" t="s">
        <v>12</v>
      </c>
      <c r="M3" s="99" t="s">
        <v>15</v>
      </c>
    </row>
    <row r="4" spans="1:13">
      <c r="A4" s="75" t="s">
        <v>264</v>
      </c>
      <c r="B4" s="76" t="s">
        <v>45</v>
      </c>
      <c r="C4" s="76" t="s">
        <v>18</v>
      </c>
      <c r="D4" s="77" t="s">
        <v>70</v>
      </c>
      <c r="E4" s="77">
        <v>54</v>
      </c>
      <c r="F4" s="77">
        <v>85</v>
      </c>
      <c r="G4" s="77" t="str">
        <f t="shared" ref="G4:G12" si="0">_xlfn.TEXTAFTER(A4, "-", 2)</f>
        <v>1</v>
      </c>
      <c r="H4" s="74">
        <v>45678</v>
      </c>
      <c r="I4" s="77">
        <v>2.5299999999999998</v>
      </c>
      <c r="J4" s="77">
        <v>8.9</v>
      </c>
      <c r="K4" s="77">
        <v>24.921399999999998</v>
      </c>
      <c r="L4" s="77">
        <v>38.1297</v>
      </c>
      <c r="M4" s="78">
        <v>1.17</v>
      </c>
    </row>
    <row r="5" spans="1:13">
      <c r="A5" s="57" t="s">
        <v>265</v>
      </c>
      <c r="B5" s="58" t="s">
        <v>45</v>
      </c>
      <c r="C5" s="58" t="s">
        <v>18</v>
      </c>
      <c r="D5" s="45" t="s">
        <v>70</v>
      </c>
      <c r="E5" s="45">
        <v>54</v>
      </c>
      <c r="F5" s="45">
        <v>85</v>
      </c>
      <c r="G5" s="45" t="str">
        <f t="shared" si="0"/>
        <v>2</v>
      </c>
      <c r="H5" s="59">
        <v>45685</v>
      </c>
      <c r="I5" s="45">
        <v>2.5099999999999998</v>
      </c>
      <c r="J5" s="45">
        <v>13.1</v>
      </c>
      <c r="K5" s="45">
        <v>17.718399999999999</v>
      </c>
      <c r="L5" s="45">
        <v>27.109100000000002</v>
      </c>
      <c r="M5" s="60">
        <v>1.42</v>
      </c>
    </row>
    <row r="6" spans="1:13">
      <c r="A6" s="61" t="s">
        <v>266</v>
      </c>
      <c r="B6" s="58" t="s">
        <v>45</v>
      </c>
      <c r="C6" s="58" t="s">
        <v>18</v>
      </c>
      <c r="D6" s="45" t="s">
        <v>70</v>
      </c>
      <c r="E6" s="45">
        <v>54</v>
      </c>
      <c r="F6" s="45">
        <v>85</v>
      </c>
      <c r="G6" s="45" t="str">
        <f t="shared" si="0"/>
        <v>3</v>
      </c>
      <c r="H6" s="59">
        <v>45692</v>
      </c>
      <c r="I6" s="45">
        <v>2.57</v>
      </c>
      <c r="J6" s="45">
        <v>15.2</v>
      </c>
      <c r="K6" s="45">
        <v>14.886200000000001</v>
      </c>
      <c r="L6" s="45">
        <v>22.7759</v>
      </c>
      <c r="M6" s="60">
        <v>1.51</v>
      </c>
    </row>
    <row r="7" spans="1:13">
      <c r="A7" s="61" t="s">
        <v>267</v>
      </c>
      <c r="B7" s="58" t="s">
        <v>45</v>
      </c>
      <c r="C7" s="58" t="s">
        <v>18</v>
      </c>
      <c r="D7" s="45" t="s">
        <v>70</v>
      </c>
      <c r="E7" s="45">
        <v>54</v>
      </c>
      <c r="F7" s="45">
        <v>85</v>
      </c>
      <c r="G7" s="45" t="str">
        <f t="shared" si="0"/>
        <v>4</v>
      </c>
      <c r="H7" s="59">
        <v>45699</v>
      </c>
      <c r="I7" s="45">
        <v>2.67</v>
      </c>
      <c r="J7" s="45">
        <v>16.5</v>
      </c>
      <c r="K7" s="45">
        <v>11.044600000000001</v>
      </c>
      <c r="L7" s="45">
        <v>16.898199999999999</v>
      </c>
      <c r="M7" s="60">
        <v>1.78</v>
      </c>
    </row>
    <row r="8" spans="1:13">
      <c r="A8" s="61" t="s">
        <v>268</v>
      </c>
      <c r="B8" s="58" t="s">
        <v>45</v>
      </c>
      <c r="C8" s="58" t="s">
        <v>18</v>
      </c>
      <c r="D8" s="45" t="s">
        <v>70</v>
      </c>
      <c r="E8" s="45">
        <v>54</v>
      </c>
      <c r="F8" s="45">
        <v>85</v>
      </c>
      <c r="G8" s="45" t="str">
        <f t="shared" si="0"/>
        <v>5</v>
      </c>
      <c r="H8" s="59">
        <v>45706</v>
      </c>
      <c r="I8" s="45">
        <v>2.75</v>
      </c>
      <c r="J8" s="45">
        <v>19.399999999999999</v>
      </c>
      <c r="K8" s="45">
        <v>8.8298000000000005</v>
      </c>
      <c r="L8" s="45">
        <v>13.509600000000001</v>
      </c>
      <c r="M8" s="60">
        <v>1.87</v>
      </c>
    </row>
    <row r="9" spans="1:13">
      <c r="A9" s="57" t="s">
        <v>269</v>
      </c>
      <c r="B9" s="58" t="s">
        <v>45</v>
      </c>
      <c r="C9" s="58" t="s">
        <v>18</v>
      </c>
      <c r="D9" s="45" t="s">
        <v>70</v>
      </c>
      <c r="E9" s="45">
        <v>54</v>
      </c>
      <c r="F9" s="45">
        <v>85</v>
      </c>
      <c r="G9" s="45" t="str">
        <f t="shared" si="0"/>
        <v>6</v>
      </c>
      <c r="H9" s="59">
        <v>45713</v>
      </c>
      <c r="I9" s="45">
        <v>2.95</v>
      </c>
      <c r="J9" s="45">
        <v>21.2</v>
      </c>
      <c r="K9" s="45">
        <v>7.1932</v>
      </c>
      <c r="L9" s="45">
        <v>11.005599999999999</v>
      </c>
      <c r="M9" s="60">
        <v>1.88</v>
      </c>
    </row>
    <row r="10" spans="1:13">
      <c r="A10" s="57" t="s">
        <v>270</v>
      </c>
      <c r="B10" s="58" t="s">
        <v>45</v>
      </c>
      <c r="C10" s="58" t="s">
        <v>18</v>
      </c>
      <c r="D10" s="45" t="s">
        <v>70</v>
      </c>
      <c r="E10" s="45">
        <v>54</v>
      </c>
      <c r="F10" s="45">
        <v>85</v>
      </c>
      <c r="G10" s="45" t="str">
        <f t="shared" si="0"/>
        <v>7</v>
      </c>
      <c r="H10" s="59">
        <v>45720</v>
      </c>
      <c r="I10" s="45">
        <v>3.03</v>
      </c>
      <c r="J10" s="45">
        <v>22.6</v>
      </c>
      <c r="K10" s="45">
        <v>6.6052</v>
      </c>
      <c r="L10" s="45">
        <v>10.106</v>
      </c>
      <c r="M10" s="60">
        <v>2.1</v>
      </c>
    </row>
    <row r="11" spans="1:13">
      <c r="A11" s="57" t="s">
        <v>271</v>
      </c>
      <c r="B11" s="58" t="s">
        <v>45</v>
      </c>
      <c r="C11" s="58" t="s">
        <v>18</v>
      </c>
      <c r="D11" s="45" t="s">
        <v>70</v>
      </c>
      <c r="E11" s="45">
        <v>54</v>
      </c>
      <c r="F11" s="45">
        <v>85</v>
      </c>
      <c r="G11" s="45" t="str">
        <f t="shared" si="0"/>
        <v>8</v>
      </c>
      <c r="H11" s="59">
        <v>45727</v>
      </c>
      <c r="I11" s="45">
        <v>3.16</v>
      </c>
      <c r="J11" s="45">
        <v>25.1</v>
      </c>
      <c r="K11" s="45">
        <v>5.4390000000000001</v>
      </c>
      <c r="L11" s="45">
        <v>8.3216999999999999</v>
      </c>
      <c r="M11" s="60">
        <v>1.86</v>
      </c>
    </row>
    <row r="12" spans="1:13">
      <c r="A12" s="90" t="s">
        <v>272</v>
      </c>
      <c r="B12" s="64" t="s">
        <v>45</v>
      </c>
      <c r="C12" s="64" t="s">
        <v>18</v>
      </c>
      <c r="D12" s="65" t="s">
        <v>70</v>
      </c>
      <c r="E12" s="65">
        <v>54</v>
      </c>
      <c r="F12" s="65">
        <v>85</v>
      </c>
      <c r="G12" s="65" t="str">
        <f t="shared" si="0"/>
        <v>9</v>
      </c>
      <c r="H12" s="66">
        <v>45733</v>
      </c>
      <c r="I12" s="65">
        <v>3.13</v>
      </c>
      <c r="J12" s="65">
        <v>24.2</v>
      </c>
      <c r="K12" s="65">
        <v>4.7824</v>
      </c>
      <c r="L12" s="65">
        <v>7.3170999999999999</v>
      </c>
      <c r="M12" s="67">
        <v>1.65</v>
      </c>
    </row>
    <row r="14" spans="1:13">
      <c r="A14" s="68">
        <v>2026</v>
      </c>
    </row>
    <row r="15" spans="1:13">
      <c r="A15" s="95" t="s">
        <v>0</v>
      </c>
      <c r="B15" s="96" t="s">
        <v>1</v>
      </c>
      <c r="C15" s="96" t="s">
        <v>2</v>
      </c>
      <c r="D15" s="97" t="s">
        <v>3</v>
      </c>
      <c r="E15" s="97" t="s">
        <v>4</v>
      </c>
      <c r="F15" s="97" t="s">
        <v>5</v>
      </c>
      <c r="G15" s="97" t="s">
        <v>236</v>
      </c>
      <c r="H15" s="98" t="s">
        <v>7</v>
      </c>
      <c r="I15" s="97" t="s">
        <v>8</v>
      </c>
      <c r="J15" s="97" t="s">
        <v>9</v>
      </c>
      <c r="K15" s="97" t="s">
        <v>11</v>
      </c>
      <c r="L15" s="97" t="s">
        <v>12</v>
      </c>
      <c r="M15" s="99" t="s">
        <v>15</v>
      </c>
    </row>
    <row r="16" spans="1:13">
      <c r="A16" s="83" t="str">
        <f>'Tabla general'!A39</f>
        <v>SB26UCUC54-H85-1</v>
      </c>
      <c r="B16" s="77" t="str">
        <f>'Tabla general'!B39</f>
        <v>Sauvignon Blanc</v>
      </c>
      <c r="C16" s="77" t="str">
        <f>'Tabla general'!C39</f>
        <v>Colchagua</v>
      </c>
      <c r="D16" s="77" t="str">
        <f>'Tabla general'!D39</f>
        <v>UCUQUER</v>
      </c>
      <c r="E16" s="77">
        <f>'Tabla general'!E39</f>
        <v>54</v>
      </c>
      <c r="F16" s="77">
        <f>'Tabla general'!F39</f>
        <v>85</v>
      </c>
      <c r="G16" s="77" t="str">
        <f>'Tabla general'!G39</f>
        <v>1</v>
      </c>
      <c r="H16" s="74">
        <f>'Tabla general'!H39</f>
        <v>46043</v>
      </c>
      <c r="I16" s="77">
        <f>'Tabla general'!I39</f>
        <v>2.77</v>
      </c>
      <c r="J16" s="77">
        <f>'Tabla general'!J39</f>
        <v>12.2</v>
      </c>
      <c r="K16" s="77">
        <f>'Tabla general'!K39*0.49</f>
        <v>12.789</v>
      </c>
      <c r="L16" s="77">
        <f>'Tabla general'!L39*1.53</f>
        <v>19.567170000000001</v>
      </c>
      <c r="M16" s="78">
        <f>'Tabla general'!N39/200</f>
        <v>1.5512999999999999</v>
      </c>
    </row>
    <row r="17" spans="1:13">
      <c r="A17" s="84" t="str">
        <f>'Tabla general'!A40</f>
        <v>SB26UCUC54-H85-2</v>
      </c>
      <c r="B17" s="45" t="str">
        <f>'Tabla general'!B40</f>
        <v>Sauvignon Blanc</v>
      </c>
      <c r="C17" s="45" t="str">
        <f>'Tabla general'!C40</f>
        <v>Colchagua</v>
      </c>
      <c r="D17" s="45" t="str">
        <f>'Tabla general'!D40</f>
        <v>UCUQUER</v>
      </c>
      <c r="E17" s="45">
        <f>'Tabla general'!E40</f>
        <v>54</v>
      </c>
      <c r="F17" s="45">
        <f>'Tabla general'!F40</f>
        <v>85</v>
      </c>
      <c r="G17" s="45" t="str">
        <f>'Tabla general'!G40</f>
        <v>2</v>
      </c>
      <c r="H17" s="59">
        <f>'Tabla general'!H40</f>
        <v>46049</v>
      </c>
      <c r="I17" s="45">
        <f>'Tabla general'!I40</f>
        <v>2.72</v>
      </c>
      <c r="J17" s="45">
        <f>'Tabla general'!J40</f>
        <v>14.8</v>
      </c>
      <c r="K17" s="45">
        <f>'Tabla general'!K40*0.49</f>
        <v>13.9552</v>
      </c>
      <c r="L17" s="45">
        <f>'Tabla general'!L40*1.53</f>
        <v>21.351455999999999</v>
      </c>
      <c r="M17" s="60">
        <f>'Tabla general'!N40/200</f>
        <v>1.6268</v>
      </c>
    </row>
    <row r="18" spans="1:13">
      <c r="A18" s="84" t="str">
        <f>'Tabla general'!A41</f>
        <v>SB26UCUC54-H85-3</v>
      </c>
      <c r="B18" s="45" t="str">
        <f>'Tabla general'!B41</f>
        <v>Sauvignon Blanc</v>
      </c>
      <c r="C18" s="45" t="str">
        <f>'Tabla general'!C41</f>
        <v>Colchagua</v>
      </c>
      <c r="D18" s="45" t="str">
        <f>'Tabla general'!D41</f>
        <v>UCUQUER</v>
      </c>
      <c r="E18" s="45">
        <f>'Tabla general'!E41</f>
        <v>54</v>
      </c>
      <c r="F18" s="45">
        <f>'Tabla general'!F41</f>
        <v>85</v>
      </c>
      <c r="G18" s="45" t="str">
        <f>'Tabla general'!G41</f>
        <v>3</v>
      </c>
      <c r="H18" s="59">
        <f>'Tabla general'!H41</f>
        <v>46056</v>
      </c>
      <c r="I18" s="45">
        <f>'Tabla general'!I41</f>
        <v>2.8</v>
      </c>
      <c r="J18" s="45">
        <f>'Tabla general'!J41</f>
        <v>15.9</v>
      </c>
      <c r="K18" s="45">
        <f>'Tabla general'!K41*0.49</f>
        <v>11.465999999999999</v>
      </c>
      <c r="L18" s="45">
        <f>'Tabla general'!L41*1.53</f>
        <v>17.54298</v>
      </c>
      <c r="M18" s="60">
        <f>'Tabla general'!N41/200</f>
        <v>1.9035</v>
      </c>
    </row>
    <row r="19" spans="1:13">
      <c r="A19" s="84" t="str">
        <f>'Tabla general'!A42</f>
        <v>SB26UCUC54-H85-4</v>
      </c>
      <c r="B19" s="45" t="str">
        <f>'Tabla general'!B42</f>
        <v>Sauvignon Blanc</v>
      </c>
      <c r="C19" s="45" t="str">
        <f>'Tabla general'!C42</f>
        <v>Colchagua</v>
      </c>
      <c r="D19" s="45" t="str">
        <f>'Tabla general'!D42</f>
        <v>UCUQUER</v>
      </c>
      <c r="E19" s="45">
        <f>'Tabla general'!E42</f>
        <v>54</v>
      </c>
      <c r="F19" s="45">
        <f>'Tabla general'!F42</f>
        <v>85</v>
      </c>
      <c r="G19" s="45" t="str">
        <f>'Tabla general'!G42</f>
        <v>4</v>
      </c>
      <c r="H19" s="59">
        <f>'Tabla general'!H42</f>
        <v>46063</v>
      </c>
      <c r="I19" s="45">
        <f>'Tabla general'!I42</f>
        <v>3.01</v>
      </c>
      <c r="J19" s="45">
        <f>'Tabla general'!J42</f>
        <v>18.5</v>
      </c>
      <c r="K19" s="45">
        <f>'Tabla general'!K42*0.49</f>
        <v>8.7611999999999988</v>
      </c>
      <c r="L19" s="45">
        <f>'Tabla general'!L42*1.53</f>
        <v>13.404635999999998</v>
      </c>
      <c r="M19" s="60">
        <f>'Tabla general'!N42/200</f>
        <v>1.9630000000000001</v>
      </c>
    </row>
    <row r="20" spans="1:13">
      <c r="A20" s="84" t="str">
        <f>'Tabla general'!A43</f>
        <v>SB26UCUC54-H85-5</v>
      </c>
      <c r="B20" s="45" t="str">
        <f>'Tabla general'!B43</f>
        <v>Sauvignon Blanc</v>
      </c>
      <c r="C20" s="45" t="str">
        <f>'Tabla general'!C43</f>
        <v>Colchagua</v>
      </c>
      <c r="D20" s="45" t="str">
        <f>'Tabla general'!D43</f>
        <v>UCUQUER</v>
      </c>
      <c r="E20" s="45">
        <f>'Tabla general'!E43</f>
        <v>54</v>
      </c>
      <c r="F20" s="45">
        <f>'Tabla general'!F43</f>
        <v>85</v>
      </c>
      <c r="G20" s="45" t="str">
        <f>'Tabla general'!G43</f>
        <v>5</v>
      </c>
      <c r="H20" s="59">
        <f>'Tabla general'!H43</f>
        <v>46070</v>
      </c>
      <c r="I20" s="45">
        <f>'Tabla general'!I43</f>
        <v>3.08</v>
      </c>
      <c r="J20" s="45">
        <f>'Tabla general'!J43</f>
        <v>20.5</v>
      </c>
      <c r="K20" s="45">
        <f>'Tabla general'!K43*0.49</f>
        <v>7.5852000000000004</v>
      </c>
      <c r="L20" s="45">
        <f>'Tabla general'!L43*1.53</f>
        <v>11.605356</v>
      </c>
      <c r="M20" s="60">
        <f>'Tabla general'!N43/200</f>
        <v>2.0185</v>
      </c>
    </row>
    <row r="21" spans="1:13">
      <c r="A21" s="84" t="str">
        <f>'Tabla general'!A44</f>
        <v>SB26UCUC54-H85-6</v>
      </c>
      <c r="B21" s="45" t="str">
        <f>'Tabla general'!B44</f>
        <v>Sauvignon Blanc</v>
      </c>
      <c r="C21" s="45" t="str">
        <f>'Tabla general'!C44</f>
        <v>Colchagua</v>
      </c>
      <c r="D21" s="45" t="str">
        <f>'Tabla general'!D44</f>
        <v>UCUQUER</v>
      </c>
      <c r="E21" s="45">
        <f>'Tabla general'!E44</f>
        <v>54</v>
      </c>
      <c r="F21" s="45">
        <f>'Tabla general'!F44</f>
        <v>85</v>
      </c>
      <c r="G21" s="45" t="str">
        <f>'Tabla general'!G44</f>
        <v>6</v>
      </c>
      <c r="H21" s="59">
        <f>'Tabla general'!H44</f>
        <v>46077</v>
      </c>
      <c r="I21" s="45">
        <f>'Tabla general'!I44</f>
        <v>3.09</v>
      </c>
      <c r="J21" s="45">
        <f>'Tabla general'!J44</f>
        <v>21.8</v>
      </c>
      <c r="K21" s="45">
        <f>'Tabla general'!K44*0.49</f>
        <v>6.2720000000000002</v>
      </c>
      <c r="L21" s="45">
        <f>'Tabla general'!L44*1.53</f>
        <v>9.5961600000000011</v>
      </c>
      <c r="M21" s="60">
        <f>'Tabla general'!N44/200</f>
        <v>2.0805000000000002</v>
      </c>
    </row>
    <row r="22" spans="1:13">
      <c r="A22" s="84" t="str">
        <f>'Tabla general'!A45</f>
        <v>SB26UCUC54-H85-7</v>
      </c>
      <c r="B22" s="45" t="str">
        <f>'Tabla general'!B45</f>
        <v>Sauvignon Blanc</v>
      </c>
      <c r="C22" s="45" t="str">
        <f>'Tabla general'!C45</f>
        <v>Colchagua</v>
      </c>
      <c r="D22" s="45" t="str">
        <f>'Tabla general'!D45</f>
        <v>UCUQUER</v>
      </c>
      <c r="E22" s="45">
        <f>'Tabla general'!E45</f>
        <v>54</v>
      </c>
      <c r="F22" s="45">
        <f>'Tabla general'!F45</f>
        <v>85</v>
      </c>
      <c r="G22" s="45" t="str">
        <f>'Tabla general'!G45</f>
        <v>7</v>
      </c>
      <c r="H22" s="59">
        <f>'Tabla general'!H45</f>
        <v>46084</v>
      </c>
      <c r="I22" s="45">
        <f>'Tabla general'!I45</f>
        <v>3.07</v>
      </c>
      <c r="J22" s="45">
        <f>'Tabla general'!J45</f>
        <v>22.7</v>
      </c>
      <c r="K22" s="45">
        <f>'Tabla general'!K45*0.49</f>
        <v>5.7183000000000002</v>
      </c>
      <c r="L22" s="45">
        <f>'Tabla general'!L45*1.53</f>
        <v>8.7489989999999995</v>
      </c>
      <c r="M22" s="60">
        <f>'Tabla general'!N45/200</f>
        <v>2.0615000000000001</v>
      </c>
    </row>
    <row r="23" spans="1:13">
      <c r="A23" s="84" t="str">
        <f>'Tabla general'!A46</f>
        <v>SB26UCUC54-H85-8</v>
      </c>
      <c r="B23" s="45" t="str">
        <f>'Tabla general'!B46</f>
        <v>Sauvignon Blanc</v>
      </c>
      <c r="C23" s="45" t="str">
        <f>'Tabla general'!C46</f>
        <v>Colchagua</v>
      </c>
      <c r="D23" s="45" t="str">
        <f>'Tabla general'!D46</f>
        <v>UCUQUER</v>
      </c>
      <c r="E23" s="45">
        <f>'Tabla general'!E46</f>
        <v>54</v>
      </c>
      <c r="F23" s="45">
        <f>'Tabla general'!F46</f>
        <v>85</v>
      </c>
      <c r="G23" s="45" t="str">
        <f>'Tabla general'!G46</f>
        <v>8</v>
      </c>
      <c r="H23" s="59">
        <f>'Tabla general'!H46</f>
        <v>46091</v>
      </c>
      <c r="I23" s="45">
        <f>'Tabla general'!I46</f>
        <v>3.05</v>
      </c>
      <c r="J23" s="45">
        <f>'Tabla general'!J46</f>
        <v>24.3</v>
      </c>
      <c r="K23" s="45">
        <f>'Tabla general'!K46*0.49</f>
        <v>5.3507999999999996</v>
      </c>
      <c r="L23" s="45">
        <f>'Tabla general'!L46*1.53</f>
        <v>8.1867239999999999</v>
      </c>
      <c r="M23" s="60">
        <f>'Tabla general'!N46/200</f>
        <v>1.9615</v>
      </c>
    </row>
    <row r="24" spans="1:13">
      <c r="A24" s="84" t="str">
        <f>'Tabla general'!A47</f>
        <v>SB26UCUC54-H85-9</v>
      </c>
      <c r="B24" s="45" t="str">
        <f>'Tabla general'!B47</f>
        <v>Sauvignon Blanc</v>
      </c>
      <c r="C24" s="45" t="str">
        <f>'Tabla general'!C47</f>
        <v>Colchagua</v>
      </c>
      <c r="D24" s="45" t="str">
        <f>'Tabla general'!D47</f>
        <v>UCUQUER</v>
      </c>
      <c r="E24" s="45">
        <f>'Tabla general'!E47</f>
        <v>54</v>
      </c>
      <c r="F24" s="45">
        <f>'Tabla general'!F47</f>
        <v>85</v>
      </c>
      <c r="G24" s="45" t="str">
        <f>'Tabla general'!G47</f>
        <v>9</v>
      </c>
      <c r="H24" s="59">
        <f>'Tabla general'!H47</f>
        <v>46098</v>
      </c>
      <c r="I24" s="45">
        <f>'Tabla general'!I47</f>
        <v>3.13</v>
      </c>
      <c r="J24" s="45">
        <f>'Tabla general'!J47</f>
        <v>25.5</v>
      </c>
      <c r="K24" s="45">
        <f>'Tabla general'!K47*0.49</f>
        <v>4.5667999999999997</v>
      </c>
      <c r="L24" s="45">
        <f>'Tabla general'!L47*1.53</f>
        <v>6.9872039999999993</v>
      </c>
      <c r="M24" s="60">
        <f>'Tabla general'!N47/200</f>
        <v>1.9809999999999999</v>
      </c>
    </row>
    <row r="25" spans="1:13">
      <c r="A25" s="84" t="str">
        <f>'Tabla general'!A48</f>
        <v>SB26UCUC54-H85-10</v>
      </c>
      <c r="B25" s="45" t="str">
        <f>'Tabla general'!B48</f>
        <v>Sauvignon Blanc</v>
      </c>
      <c r="C25" s="45" t="str">
        <f>'Tabla general'!C48</f>
        <v>Colchagua</v>
      </c>
      <c r="D25" s="45" t="str">
        <f>'Tabla general'!D48</f>
        <v>UCUQUER</v>
      </c>
      <c r="E25" s="45">
        <f>'Tabla general'!E48</f>
        <v>54</v>
      </c>
      <c r="F25" s="45">
        <f>'Tabla general'!F48</f>
        <v>85</v>
      </c>
      <c r="G25" s="45" t="str">
        <f>'Tabla general'!G48</f>
        <v>10</v>
      </c>
      <c r="H25" s="59" t="str">
        <f>'Tabla general'!H48</f>
        <v>-</v>
      </c>
      <c r="I25" s="45">
        <f>'Tabla general'!I48</f>
        <v>3.12</v>
      </c>
      <c r="J25" s="45">
        <f>'Tabla general'!J48</f>
        <v>25.7</v>
      </c>
      <c r="K25" s="45">
        <f>'Tabla general'!K48*0.49</f>
        <v>5.0274000000000001</v>
      </c>
      <c r="L25" s="45">
        <f>'Tabla general'!L48*1.53</f>
        <v>7.6919219999999999</v>
      </c>
      <c r="M25" s="60">
        <f>'Tabla general'!N48/200</f>
        <v>2.012</v>
      </c>
    </row>
    <row r="26" spans="1:13">
      <c r="A26" s="84" t="str">
        <f>'Tabla general'!A49</f>
        <v>SB26UCUC54-H85-11</v>
      </c>
      <c r="B26" s="45" t="str">
        <f>'Tabla general'!B49</f>
        <v>Sauvignon Blanc</v>
      </c>
      <c r="C26" s="45" t="str">
        <f>'Tabla general'!C49</f>
        <v>Colchagua</v>
      </c>
      <c r="D26" s="45" t="str">
        <f>'Tabla general'!D49</f>
        <v>UCUQUER</v>
      </c>
      <c r="E26" s="45">
        <f>'Tabla general'!E49</f>
        <v>54</v>
      </c>
      <c r="F26" s="45">
        <f>'Tabla general'!F49</f>
        <v>85</v>
      </c>
      <c r="G26" s="45" t="str">
        <f>'Tabla general'!G49</f>
        <v>11</v>
      </c>
      <c r="H26" s="59">
        <f>'Tabla general'!H49</f>
        <v>46112</v>
      </c>
      <c r="I26" s="45">
        <f>'Tabla general'!I49</f>
        <v>3.18</v>
      </c>
      <c r="J26" s="45">
        <f>'Tabla general'!J49</f>
        <v>25.8</v>
      </c>
      <c r="K26" s="45">
        <f>'Tabla general'!K49*0.49</f>
        <v>4.3217999999999996</v>
      </c>
      <c r="L26" s="45">
        <f>'Tabla general'!L49*1.53</f>
        <v>6.6123539999999998</v>
      </c>
      <c r="M26" s="60">
        <f>'Tabla general'!N49/200</f>
        <v>1.9524999999999999</v>
      </c>
    </row>
    <row r="27" spans="1:13">
      <c r="A27" s="84" t="str">
        <f>'Tabla general'!A50</f>
        <v>SB26UCUC54-H85-12</v>
      </c>
      <c r="B27" s="45" t="str">
        <f>'Tabla general'!B50</f>
        <v>Sauvignon Blanc</v>
      </c>
      <c r="C27" s="45" t="str">
        <f>'Tabla general'!C50</f>
        <v>Colchagua</v>
      </c>
      <c r="D27" s="45" t="str">
        <f>'Tabla general'!D50</f>
        <v>UCUQUER</v>
      </c>
      <c r="E27" s="45">
        <f>'Tabla general'!E50</f>
        <v>54</v>
      </c>
      <c r="F27" s="45">
        <f>'Tabla general'!F50</f>
        <v>85</v>
      </c>
      <c r="G27" s="45" t="str">
        <f>'Tabla general'!G50</f>
        <v>12</v>
      </c>
      <c r="H27" s="59">
        <f>'Tabla general'!H50</f>
        <v>46119</v>
      </c>
      <c r="I27" s="45">
        <f>'Tabla general'!I50</f>
        <v>3.14</v>
      </c>
      <c r="J27" s="45">
        <f>'Tabla general'!J50</f>
        <v>27.7</v>
      </c>
      <c r="K27" s="45">
        <f>'Tabla general'!K50*0.49</f>
        <v>4.6893000000000002</v>
      </c>
      <c r="L27" s="45">
        <f>'Tabla general'!L50*1.53</f>
        <v>7.1746290000000004</v>
      </c>
      <c r="M27" s="60">
        <f>'Tabla general'!N50/200</f>
        <v>1.8374999999999999</v>
      </c>
    </row>
    <row r="28" spans="1:13">
      <c r="A28" s="84" t="str">
        <f>'Tabla general'!A51</f>
        <v>SB26UCUC54-H85-13</v>
      </c>
      <c r="B28" s="45" t="str">
        <f>'Tabla general'!B51</f>
        <v>Sauvignon Blanc</v>
      </c>
      <c r="C28" s="45" t="str">
        <f>'Tabla general'!C51</f>
        <v>Colchagua</v>
      </c>
      <c r="D28" s="45" t="str">
        <f>'Tabla general'!D51</f>
        <v>UCUQUER</v>
      </c>
      <c r="E28" s="45">
        <f>'Tabla general'!E51</f>
        <v>54</v>
      </c>
      <c r="F28" s="45">
        <f>'Tabla general'!F51</f>
        <v>85</v>
      </c>
      <c r="G28" s="45">
        <f>'Tabla general'!G51</f>
        <v>13</v>
      </c>
      <c r="H28" s="59">
        <f>'Tabla general'!H51</f>
        <v>46126</v>
      </c>
      <c r="I28" s="45">
        <f>'Tabla general'!I51</f>
        <v>3.48</v>
      </c>
      <c r="J28" s="45">
        <f>'Tabla general'!J51</f>
        <v>27.6</v>
      </c>
      <c r="K28" s="45">
        <f>'Tabla general'!K51*0.49</f>
        <v>2.9056999999999999</v>
      </c>
      <c r="L28" s="45">
        <f>'Tabla general'!L51*1.53</f>
        <v>4.4457209999999998</v>
      </c>
      <c r="M28" s="60">
        <f>'Tabla general'!N51/200</f>
        <v>1.9894999999999998</v>
      </c>
    </row>
    <row r="29" spans="1:13">
      <c r="A29" s="85" t="str">
        <f>'Tabla general'!A52</f>
        <v>SB26UCUC54-H85-14</v>
      </c>
      <c r="B29" s="65" t="str">
        <f>'Tabla general'!B52</f>
        <v>Sauvignon Blanc</v>
      </c>
      <c r="C29" s="65" t="str">
        <f>'Tabla general'!C52</f>
        <v>Colchagua</v>
      </c>
      <c r="D29" s="65" t="str">
        <f>'Tabla general'!D52</f>
        <v>UCUQUER</v>
      </c>
      <c r="E29" s="65">
        <f>'Tabla general'!E52</f>
        <v>54</v>
      </c>
      <c r="F29" s="65">
        <f>'Tabla general'!F52</f>
        <v>85</v>
      </c>
      <c r="G29" s="65">
        <f>'Tabla general'!G52</f>
        <v>14</v>
      </c>
      <c r="H29" s="66">
        <f>'Tabla general'!H52</f>
        <v>46132</v>
      </c>
      <c r="I29" s="65">
        <f>'Tabla general'!I52</f>
        <v>3.21</v>
      </c>
      <c r="J29" s="65">
        <f>'Tabla general'!J52</f>
        <v>27.8</v>
      </c>
      <c r="K29" s="65">
        <f>'Tabla general'!K52*0.49</f>
        <v>4.4932999999999996</v>
      </c>
      <c r="L29" s="65">
        <f>'Tabla general'!L52*1.53</f>
        <v>6.8747489999999996</v>
      </c>
      <c r="M29" s="67">
        <f>'Tabla general'!N52/200</f>
        <v>1.94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741C-B05C-4D2A-8A08-13CC62233DFE}">
  <dimension ref="A2:M28"/>
  <sheetViews>
    <sheetView topLeftCell="A11" workbookViewId="0">
      <selection activeCell="A16" sqref="A16:M28"/>
    </sheetView>
  </sheetViews>
  <sheetFormatPr defaultColWidth="8.85546875" defaultRowHeight="14.45"/>
  <cols>
    <col min="1" max="1" width="19.140625" bestFit="1" customWidth="1"/>
    <col min="2" max="2" width="15.42578125" bestFit="1" customWidth="1"/>
    <col min="7" max="7" width="10.710937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46">
        <v>2025</v>
      </c>
    </row>
    <row r="3" spans="1:13">
      <c r="A3" s="91" t="s">
        <v>0</v>
      </c>
      <c r="B3" s="100" t="s">
        <v>1</v>
      </c>
      <c r="C3" s="100" t="s">
        <v>2</v>
      </c>
      <c r="D3" s="92" t="s">
        <v>3</v>
      </c>
      <c r="E3" s="92" t="s">
        <v>4</v>
      </c>
      <c r="F3" s="92" t="s">
        <v>5</v>
      </c>
      <c r="G3" s="92" t="s">
        <v>236</v>
      </c>
      <c r="H3" s="93" t="s">
        <v>7</v>
      </c>
      <c r="I3" s="92" t="s">
        <v>8</v>
      </c>
      <c r="J3" s="92" t="s">
        <v>9</v>
      </c>
      <c r="K3" s="92" t="s">
        <v>11</v>
      </c>
      <c r="L3" s="92" t="s">
        <v>12</v>
      </c>
      <c r="M3" s="94" t="s">
        <v>15</v>
      </c>
    </row>
    <row r="4" spans="1:13">
      <c r="A4" s="57" t="s">
        <v>273</v>
      </c>
      <c r="B4" s="58" t="s">
        <v>45</v>
      </c>
      <c r="C4" s="58" t="s">
        <v>110</v>
      </c>
      <c r="D4" s="45" t="s">
        <v>111</v>
      </c>
      <c r="E4" s="45">
        <v>4</v>
      </c>
      <c r="F4" s="45">
        <v>180</v>
      </c>
      <c r="G4" s="45" t="str">
        <f t="shared" ref="G4:G12" si="0">_xlfn.TEXTAFTER(A4, "-", 2)</f>
        <v>1</v>
      </c>
      <c r="H4" s="59">
        <v>45680</v>
      </c>
      <c r="I4" s="45">
        <v>2.48</v>
      </c>
      <c r="J4" s="45">
        <v>8.1</v>
      </c>
      <c r="K4" s="45">
        <v>25.146799999999999</v>
      </c>
      <c r="L4" s="45">
        <v>38.474600000000002</v>
      </c>
      <c r="M4" s="60">
        <v>1.1599999999999999</v>
      </c>
    </row>
    <row r="5" spans="1:13">
      <c r="A5" s="61" t="s">
        <v>274</v>
      </c>
      <c r="B5" s="58" t="s">
        <v>45</v>
      </c>
      <c r="C5" s="58" t="s">
        <v>110</v>
      </c>
      <c r="D5" s="45" t="s">
        <v>111</v>
      </c>
      <c r="E5" s="45">
        <v>4</v>
      </c>
      <c r="F5" s="45">
        <v>180</v>
      </c>
      <c r="G5" s="45" t="str">
        <f t="shared" si="0"/>
        <v>2</v>
      </c>
      <c r="H5" s="59">
        <v>45684</v>
      </c>
      <c r="I5" s="45">
        <v>2.46</v>
      </c>
      <c r="J5" s="45">
        <v>9.3000000000000007</v>
      </c>
      <c r="K5" s="45">
        <v>23.3338</v>
      </c>
      <c r="L5" s="45">
        <v>35.700699999999998</v>
      </c>
      <c r="M5" s="60">
        <v>1.23</v>
      </c>
    </row>
    <row r="6" spans="1:13">
      <c r="A6" s="61" t="s">
        <v>275</v>
      </c>
      <c r="B6" s="58" t="s">
        <v>45</v>
      </c>
      <c r="C6" s="58" t="s">
        <v>110</v>
      </c>
      <c r="D6" s="45" t="s">
        <v>111</v>
      </c>
      <c r="E6" s="45">
        <v>4</v>
      </c>
      <c r="F6" s="45">
        <v>180</v>
      </c>
      <c r="G6" s="45" t="str">
        <f t="shared" si="0"/>
        <v>3</v>
      </c>
      <c r="H6" s="59">
        <v>45691</v>
      </c>
      <c r="I6" s="45">
        <v>2.69</v>
      </c>
      <c r="J6" s="45">
        <v>13.7</v>
      </c>
      <c r="K6" s="45">
        <v>16.9344</v>
      </c>
      <c r="L6" s="45">
        <v>25.909600000000001</v>
      </c>
      <c r="M6" s="60">
        <v>1.65</v>
      </c>
    </row>
    <row r="7" spans="1:13">
      <c r="A7" s="61" t="s">
        <v>276</v>
      </c>
      <c r="B7" s="58" t="s">
        <v>45</v>
      </c>
      <c r="C7" s="58" t="s">
        <v>110</v>
      </c>
      <c r="D7" s="45" t="s">
        <v>111</v>
      </c>
      <c r="E7" s="45">
        <v>4</v>
      </c>
      <c r="F7" s="45">
        <v>180</v>
      </c>
      <c r="G7" s="45" t="str">
        <f t="shared" si="0"/>
        <v>4</v>
      </c>
      <c r="H7" s="59">
        <v>45698</v>
      </c>
      <c r="I7" s="45">
        <v>2.74</v>
      </c>
      <c r="J7" s="45">
        <v>16.3</v>
      </c>
      <c r="K7" s="45">
        <v>12.632199999999999</v>
      </c>
      <c r="L7" s="45">
        <v>19.327300000000001</v>
      </c>
      <c r="M7" s="60">
        <v>1.79</v>
      </c>
    </row>
    <row r="8" spans="1:13">
      <c r="A8" s="61" t="s">
        <v>277</v>
      </c>
      <c r="B8" s="58" t="s">
        <v>45</v>
      </c>
      <c r="C8" s="58" t="s">
        <v>110</v>
      </c>
      <c r="D8" s="45" t="s">
        <v>111</v>
      </c>
      <c r="E8" s="45">
        <v>4</v>
      </c>
      <c r="F8" s="45">
        <v>180</v>
      </c>
      <c r="G8" s="45" t="str">
        <f t="shared" si="0"/>
        <v>5</v>
      </c>
      <c r="H8" s="59">
        <v>45707</v>
      </c>
      <c r="I8" s="45">
        <v>2.86</v>
      </c>
      <c r="J8" s="45">
        <v>18.899999999999999</v>
      </c>
      <c r="K8" s="45">
        <v>10.152799999999999</v>
      </c>
      <c r="L8" s="45">
        <v>15.533799999999999</v>
      </c>
      <c r="M8" s="60">
        <v>1.86</v>
      </c>
    </row>
    <row r="9" spans="1:13">
      <c r="A9" s="61" t="s">
        <v>278</v>
      </c>
      <c r="B9" s="58" t="s">
        <v>45</v>
      </c>
      <c r="C9" s="58" t="s">
        <v>110</v>
      </c>
      <c r="D9" s="45" t="s">
        <v>111</v>
      </c>
      <c r="E9" s="45">
        <v>4</v>
      </c>
      <c r="F9" s="45">
        <v>180</v>
      </c>
      <c r="G9" s="45" t="str">
        <f t="shared" si="0"/>
        <v>6</v>
      </c>
      <c r="H9" s="59">
        <v>45714</v>
      </c>
      <c r="I9" s="45">
        <v>2.87</v>
      </c>
      <c r="J9" s="45">
        <v>20.399999999999999</v>
      </c>
      <c r="K9" s="45">
        <v>8.8591999999999995</v>
      </c>
      <c r="L9" s="45">
        <v>13.554600000000001</v>
      </c>
      <c r="M9" s="60">
        <v>1.91</v>
      </c>
    </row>
    <row r="10" spans="1:13">
      <c r="A10" s="61" t="s">
        <v>279</v>
      </c>
      <c r="B10" s="58" t="s">
        <v>45</v>
      </c>
      <c r="C10" s="58" t="s">
        <v>110</v>
      </c>
      <c r="D10" s="45" t="s">
        <v>111</v>
      </c>
      <c r="E10" s="45">
        <v>4</v>
      </c>
      <c r="F10" s="45">
        <v>180</v>
      </c>
      <c r="G10" s="45" t="str">
        <f t="shared" si="0"/>
        <v>7</v>
      </c>
      <c r="H10" s="59">
        <v>45722</v>
      </c>
      <c r="I10" s="45">
        <v>3.15</v>
      </c>
      <c r="J10" s="45">
        <v>21.3</v>
      </c>
      <c r="K10" s="45">
        <v>7.0069999999999997</v>
      </c>
      <c r="L10" s="45">
        <v>10.720700000000001</v>
      </c>
      <c r="M10" s="60">
        <v>1.97</v>
      </c>
    </row>
    <row r="11" spans="1:13">
      <c r="A11" s="61" t="s">
        <v>280</v>
      </c>
      <c r="B11" s="58" t="s">
        <v>45</v>
      </c>
      <c r="C11" s="58" t="s">
        <v>110</v>
      </c>
      <c r="D11" s="45" t="s">
        <v>111</v>
      </c>
      <c r="E11" s="45">
        <v>4</v>
      </c>
      <c r="F11" s="45">
        <v>180</v>
      </c>
      <c r="G11" s="45" t="str">
        <f t="shared" si="0"/>
        <v>8</v>
      </c>
      <c r="H11" s="59">
        <v>45728</v>
      </c>
      <c r="I11" s="45">
        <v>3.22</v>
      </c>
      <c r="J11" s="45">
        <v>21.9</v>
      </c>
      <c r="K11" s="45">
        <v>6.5170000000000003</v>
      </c>
      <c r="L11" s="45">
        <v>9.9710000000000001</v>
      </c>
      <c r="M11" s="60">
        <v>1.97</v>
      </c>
    </row>
    <row r="12" spans="1:13">
      <c r="A12" s="63" t="s">
        <v>281</v>
      </c>
      <c r="B12" s="64" t="s">
        <v>45</v>
      </c>
      <c r="C12" s="64" t="s">
        <v>110</v>
      </c>
      <c r="D12" s="65" t="s">
        <v>111</v>
      </c>
      <c r="E12" s="65">
        <v>4</v>
      </c>
      <c r="F12" s="65">
        <v>180</v>
      </c>
      <c r="G12" s="65" t="str">
        <f t="shared" si="0"/>
        <v>9</v>
      </c>
      <c r="H12" s="66">
        <v>45734</v>
      </c>
      <c r="I12" s="65">
        <v>3.25</v>
      </c>
      <c r="J12" s="65">
        <v>22.6</v>
      </c>
      <c r="K12" s="65">
        <v>6.1397000000000004</v>
      </c>
      <c r="L12" s="65">
        <v>9.3937000000000008</v>
      </c>
      <c r="M12" s="67">
        <v>2.13</v>
      </c>
    </row>
    <row r="14" spans="1:13">
      <c r="A14" s="46">
        <v>2026</v>
      </c>
    </row>
    <row r="15" spans="1:13">
      <c r="A15" s="95" t="s">
        <v>0</v>
      </c>
      <c r="B15" s="101" t="s">
        <v>1</v>
      </c>
      <c r="C15" s="101" t="s">
        <v>2</v>
      </c>
      <c r="D15" s="97" t="s">
        <v>3</v>
      </c>
      <c r="E15" s="97" t="s">
        <v>4</v>
      </c>
      <c r="F15" s="97" t="s">
        <v>5</v>
      </c>
      <c r="G15" s="97" t="s">
        <v>236</v>
      </c>
      <c r="H15" s="98" t="s">
        <v>7</v>
      </c>
      <c r="I15" s="97" t="s">
        <v>8</v>
      </c>
      <c r="J15" s="97" t="s">
        <v>9</v>
      </c>
      <c r="K15" s="97" t="s">
        <v>11</v>
      </c>
      <c r="L15" s="97" t="s">
        <v>12</v>
      </c>
      <c r="M15" s="99" t="s">
        <v>15</v>
      </c>
    </row>
    <row r="16" spans="1:13">
      <c r="A16" s="86" t="str">
        <f>'Tabla general'!A53</f>
        <v>SB26YUNC4-H180-1</v>
      </c>
      <c r="B16" s="8" t="str">
        <f>'Tabla general'!B53</f>
        <v>Sauvignon Blanc</v>
      </c>
      <c r="C16" s="8" t="str">
        <f>'Tabla general'!C53</f>
        <v>Curicó</v>
      </c>
      <c r="D16" s="8" t="str">
        <f>'Tabla general'!D53</f>
        <v>YUNGAY</v>
      </c>
      <c r="E16" s="8">
        <f>'Tabla general'!E53</f>
        <v>4</v>
      </c>
      <c r="F16" s="8">
        <f>'Tabla general'!F53</f>
        <v>180</v>
      </c>
      <c r="G16" s="8" t="str">
        <f>'Tabla general'!G53</f>
        <v>1</v>
      </c>
      <c r="H16" s="74">
        <f>'Tabla general'!H53</f>
        <v>46045</v>
      </c>
      <c r="I16" s="8">
        <f>'Tabla general'!I53</f>
        <v>2.89</v>
      </c>
      <c r="J16" s="8">
        <f>'Tabla general'!J53</f>
        <v>9.1</v>
      </c>
      <c r="K16" s="8">
        <f>'Tabla general'!K53*0.49</f>
        <v>16.679600000000001</v>
      </c>
      <c r="L16" s="8">
        <f>'Tabla general'!L53*1.53</f>
        <v>25.519788000000002</v>
      </c>
      <c r="M16" s="87">
        <f>'Tabla general'!N53/200</f>
        <v>1.2983000000000002</v>
      </c>
    </row>
    <row r="17" spans="1:13">
      <c r="A17" s="88" t="str">
        <f>'Tabla general'!A54</f>
        <v>SB26YUNC4-H180-2</v>
      </c>
      <c r="B17" s="3" t="str">
        <f>'Tabla general'!B54</f>
        <v>Sauvignon Blanc</v>
      </c>
      <c r="C17" s="3" t="str">
        <f>'Tabla general'!C54</f>
        <v>Curicó</v>
      </c>
      <c r="D17" s="3" t="str">
        <f>'Tabla general'!D54</f>
        <v>YUNGAY</v>
      </c>
      <c r="E17" s="3">
        <f>'Tabla general'!E54</f>
        <v>4</v>
      </c>
      <c r="F17" s="3">
        <f>'Tabla general'!F54</f>
        <v>180</v>
      </c>
      <c r="G17" s="3" t="str">
        <f>'Tabla general'!G54</f>
        <v>2</v>
      </c>
      <c r="H17" s="59">
        <f>'Tabla general'!H54</f>
        <v>46051</v>
      </c>
      <c r="I17" s="3">
        <f>'Tabla general'!I54</f>
        <v>2.75</v>
      </c>
      <c r="J17" s="3">
        <f>'Tabla general'!J54</f>
        <v>11.2</v>
      </c>
      <c r="K17" s="3">
        <f>'Tabla general'!K54*0.49</f>
        <v>8.3201999999999998</v>
      </c>
      <c r="L17" s="3">
        <f>'Tabla general'!L54*1.53</f>
        <v>12.729906</v>
      </c>
      <c r="M17" s="49">
        <f>'Tabla general'!N54/200</f>
        <v>1.4428999999999998</v>
      </c>
    </row>
    <row r="18" spans="1:13">
      <c r="A18" s="88" t="str">
        <f>'Tabla general'!A55</f>
        <v>SB26YUNC4-H180-3</v>
      </c>
      <c r="B18" s="3" t="str">
        <f>'Tabla general'!B55</f>
        <v>Sauvignon Blanc</v>
      </c>
      <c r="C18" s="3" t="str">
        <f>'Tabla general'!C55</f>
        <v>Curicó</v>
      </c>
      <c r="D18" s="3" t="str">
        <f>'Tabla general'!D55</f>
        <v>YUNGAY</v>
      </c>
      <c r="E18" s="3">
        <f>'Tabla general'!E55</f>
        <v>4</v>
      </c>
      <c r="F18" s="3">
        <f>'Tabla general'!F55</f>
        <v>180</v>
      </c>
      <c r="G18" s="3" t="str">
        <f>'Tabla general'!G55</f>
        <v>3</v>
      </c>
      <c r="H18" s="59">
        <f>'Tabla general'!H55</f>
        <v>46058</v>
      </c>
      <c r="I18" s="3">
        <f>'Tabla general'!I55</f>
        <v>2.86</v>
      </c>
      <c r="J18" s="3">
        <f>'Tabla general'!J55</f>
        <v>13.5</v>
      </c>
      <c r="K18" s="3">
        <f>'Tabla general'!K55*0.49</f>
        <v>12.25</v>
      </c>
      <c r="L18" s="3">
        <f>'Tabla general'!L55*1.53</f>
        <v>18.7425</v>
      </c>
      <c r="M18" s="49">
        <f>'Tabla general'!N55/200</f>
        <v>1.7634999999999998</v>
      </c>
    </row>
    <row r="19" spans="1:13">
      <c r="A19" s="88" t="str">
        <f>'Tabla general'!A56</f>
        <v>SB26YUNC4-H180-4</v>
      </c>
      <c r="B19" s="3" t="str">
        <f>'Tabla general'!B56</f>
        <v>Sauvignon Blanc</v>
      </c>
      <c r="C19" s="3" t="str">
        <f>'Tabla general'!C56</f>
        <v>Curicó</v>
      </c>
      <c r="D19" s="3" t="str">
        <f>'Tabla general'!D56</f>
        <v>YUNGAY</v>
      </c>
      <c r="E19" s="3">
        <f>'Tabla general'!E56</f>
        <v>4</v>
      </c>
      <c r="F19" s="3">
        <f>'Tabla general'!F56</f>
        <v>180</v>
      </c>
      <c r="G19" s="3" t="str">
        <f>'Tabla general'!G56</f>
        <v>4</v>
      </c>
      <c r="H19" s="59">
        <f>'Tabla general'!H56</f>
        <v>46065</v>
      </c>
      <c r="I19" s="3">
        <f>'Tabla general'!I56</f>
        <v>2.92</v>
      </c>
      <c r="J19" s="3">
        <f>'Tabla general'!J56</f>
        <v>15.4</v>
      </c>
      <c r="K19" s="3">
        <f>'Tabla general'!K56*0.49</f>
        <v>9.7313999999999989</v>
      </c>
      <c r="L19" s="3">
        <f>'Tabla general'!L56*1.53</f>
        <v>14.889041999999998</v>
      </c>
      <c r="M19" s="49">
        <f>'Tabla general'!N56/200</f>
        <v>1.8359999999999999</v>
      </c>
    </row>
    <row r="20" spans="1:13">
      <c r="A20" s="88" t="str">
        <f>'Tabla general'!A57</f>
        <v>SB26YUNC4-H180-5</v>
      </c>
      <c r="B20" s="3" t="str">
        <f>'Tabla general'!B57</f>
        <v>Sauvignon Blanc</v>
      </c>
      <c r="C20" s="3" t="str">
        <f>'Tabla general'!C57</f>
        <v>Curicó</v>
      </c>
      <c r="D20" s="3" t="str">
        <f>'Tabla general'!D57</f>
        <v>YUNGAY</v>
      </c>
      <c r="E20" s="3">
        <f>'Tabla general'!E57</f>
        <v>4</v>
      </c>
      <c r="F20" s="3">
        <f>'Tabla general'!F57</f>
        <v>180</v>
      </c>
      <c r="G20" s="3" t="str">
        <f>'Tabla general'!G57</f>
        <v>5</v>
      </c>
      <c r="H20" s="59">
        <f>'Tabla general'!H57</f>
        <v>46072</v>
      </c>
      <c r="I20" s="3">
        <f>'Tabla general'!I57</f>
        <v>3.14</v>
      </c>
      <c r="J20" s="3">
        <f>'Tabla general'!J57</f>
        <v>17.600000000000001</v>
      </c>
      <c r="K20" s="3">
        <f>'Tabla general'!K57*0.49</f>
        <v>7.2618</v>
      </c>
      <c r="L20" s="3">
        <f>'Tabla general'!L57*1.53</f>
        <v>11.110554</v>
      </c>
      <c r="M20" s="49">
        <f>'Tabla general'!N57/200</f>
        <v>1.905</v>
      </c>
    </row>
    <row r="21" spans="1:13">
      <c r="A21" s="88" t="str">
        <f>'Tabla general'!A58</f>
        <v>SB26YUNC4-H180-6</v>
      </c>
      <c r="B21" s="3" t="str">
        <f>'Tabla general'!B58</f>
        <v>Sauvignon Blanc</v>
      </c>
      <c r="C21" s="3" t="str">
        <f>'Tabla general'!C58</f>
        <v>Curicó</v>
      </c>
      <c r="D21" s="3" t="str">
        <f>'Tabla general'!D58</f>
        <v>YUNGAY</v>
      </c>
      <c r="E21" s="3">
        <f>'Tabla general'!E58</f>
        <v>4</v>
      </c>
      <c r="F21" s="3">
        <f>'Tabla general'!F58</f>
        <v>180</v>
      </c>
      <c r="G21" s="3" t="str">
        <f>'Tabla general'!G58</f>
        <v>6</v>
      </c>
      <c r="H21" s="59">
        <f>'Tabla general'!H58</f>
        <v>46079</v>
      </c>
      <c r="I21" s="3">
        <f>'Tabla general'!I58</f>
        <v>3.06</v>
      </c>
      <c r="J21" s="3">
        <f>'Tabla general'!J58</f>
        <v>19.100000000000001</v>
      </c>
      <c r="K21" s="3">
        <f>'Tabla general'!K58*0.49</f>
        <v>6.4189999999999996</v>
      </c>
      <c r="L21" s="3">
        <f>'Tabla general'!L58*1.53</f>
        <v>9.8210699999999989</v>
      </c>
      <c r="M21" s="49">
        <f>'Tabla general'!N58/200</f>
        <v>1.9744999999999999</v>
      </c>
    </row>
    <row r="22" spans="1:13">
      <c r="A22" s="88" t="str">
        <f>'Tabla general'!A59</f>
        <v>SB26YUNC4-H180-7</v>
      </c>
      <c r="B22" s="3" t="str">
        <f>'Tabla general'!B59</f>
        <v>Sauvignon Blanc</v>
      </c>
      <c r="C22" s="3" t="str">
        <f>'Tabla general'!C59</f>
        <v>Curicó</v>
      </c>
      <c r="D22" s="3" t="str">
        <f>'Tabla general'!D59</f>
        <v>YUNGAY</v>
      </c>
      <c r="E22" s="3">
        <f>'Tabla general'!E59</f>
        <v>4</v>
      </c>
      <c r="F22" s="3">
        <f>'Tabla general'!F59</f>
        <v>180</v>
      </c>
      <c r="G22" s="3" t="str">
        <f>'Tabla general'!G59</f>
        <v>7</v>
      </c>
      <c r="H22" s="59">
        <f>'Tabla general'!H59</f>
        <v>46086</v>
      </c>
      <c r="I22" s="3">
        <f>'Tabla general'!I59</f>
        <v>3.01</v>
      </c>
      <c r="J22" s="3">
        <f>'Tabla general'!J59</f>
        <v>19.3</v>
      </c>
      <c r="K22" s="3">
        <f>'Tabla general'!K59*0.49</f>
        <v>6.3846999999999996</v>
      </c>
      <c r="L22" s="3">
        <f>'Tabla general'!L59*1.53</f>
        <v>9.7685909999999989</v>
      </c>
      <c r="M22" s="49">
        <f>'Tabla general'!N59/200</f>
        <v>2.0430000000000001</v>
      </c>
    </row>
    <row r="23" spans="1:13">
      <c r="A23" s="88" t="str">
        <f>'Tabla general'!A60</f>
        <v>SB26YUNC4-H180-8</v>
      </c>
      <c r="B23" s="3" t="str">
        <f>'Tabla general'!B60</f>
        <v>Sauvignon Blanc</v>
      </c>
      <c r="C23" s="3" t="str">
        <f>'Tabla general'!C60</f>
        <v>Curicó</v>
      </c>
      <c r="D23" s="3" t="str">
        <f>'Tabla general'!D60</f>
        <v>YUNGAY</v>
      </c>
      <c r="E23" s="3">
        <f>'Tabla general'!E60</f>
        <v>4</v>
      </c>
      <c r="F23" s="3">
        <f>'Tabla general'!F60</f>
        <v>180</v>
      </c>
      <c r="G23" s="3" t="str">
        <f>'Tabla general'!G60</f>
        <v>8</v>
      </c>
      <c r="H23" s="59">
        <f>'Tabla general'!H60</f>
        <v>46094</v>
      </c>
      <c r="I23" s="3">
        <f>'Tabla general'!I60</f>
        <v>3.28</v>
      </c>
      <c r="J23" s="3">
        <f>'Tabla general'!J60</f>
        <v>21.1</v>
      </c>
      <c r="K23" s="3">
        <f>'Tabla general'!K60*0.49</f>
        <v>3.5966</v>
      </c>
      <c r="L23" s="3">
        <f>'Tabla general'!L60*1.53</f>
        <v>5.5027980000000003</v>
      </c>
      <c r="M23" s="49">
        <f>'Tabla general'!N60/200</f>
        <v>2.0019999999999998</v>
      </c>
    </row>
    <row r="24" spans="1:13">
      <c r="A24" s="88" t="str">
        <f>'Tabla general'!A61</f>
        <v>SB26YUNC4-H180-9</v>
      </c>
      <c r="B24" s="3" t="str">
        <f>'Tabla general'!B61</f>
        <v>Sauvignon Blanc</v>
      </c>
      <c r="C24" s="3" t="str">
        <f>'Tabla general'!C61</f>
        <v>Curicó</v>
      </c>
      <c r="D24" s="3" t="str">
        <f>'Tabla general'!D61</f>
        <v>YUNGAY</v>
      </c>
      <c r="E24" s="3">
        <f>'Tabla general'!E61</f>
        <v>4</v>
      </c>
      <c r="F24" s="3">
        <f>'Tabla general'!F61</f>
        <v>180</v>
      </c>
      <c r="G24" s="3" t="str">
        <f>'Tabla general'!G61</f>
        <v>9</v>
      </c>
      <c r="H24" s="59">
        <f>'Tabla general'!H61</f>
        <v>46100</v>
      </c>
      <c r="I24" s="3">
        <f>'Tabla general'!I61</f>
        <v>3.09</v>
      </c>
      <c r="J24" s="3">
        <f>'Tabla general'!J61</f>
        <v>20.8</v>
      </c>
      <c r="K24" s="3">
        <f>'Tabla general'!K61*0.49</f>
        <v>5.2136000000000005</v>
      </c>
      <c r="L24" s="3">
        <f>'Tabla general'!L61*1.53</f>
        <v>7.976808000000001</v>
      </c>
      <c r="M24" s="49">
        <f>'Tabla general'!N61/200</f>
        <v>1.95</v>
      </c>
    </row>
    <row r="25" spans="1:13">
      <c r="A25" s="88" t="str">
        <f>'Tabla general'!A62</f>
        <v>SB26YUNC4-H180-10</v>
      </c>
      <c r="B25" s="3" t="str">
        <f>'Tabla general'!B62</f>
        <v>Sauvignon Blanc</v>
      </c>
      <c r="C25" s="3" t="str">
        <f>'Tabla general'!C62</f>
        <v>Curicó</v>
      </c>
      <c r="D25" s="3" t="str">
        <f>'Tabla general'!D62</f>
        <v>YUNGAY</v>
      </c>
      <c r="E25" s="3">
        <f>'Tabla general'!E62</f>
        <v>4</v>
      </c>
      <c r="F25" s="3">
        <f>'Tabla general'!F62</f>
        <v>180</v>
      </c>
      <c r="G25" s="3" t="str">
        <f>'Tabla general'!G62</f>
        <v>10</v>
      </c>
      <c r="H25" s="59" t="str">
        <f>'Tabla general'!H62</f>
        <v>-</v>
      </c>
      <c r="I25" s="3">
        <f>'Tabla general'!I62</f>
        <v>2.86</v>
      </c>
      <c r="J25" s="3">
        <f>'Tabla general'!J62</f>
        <v>18.7</v>
      </c>
      <c r="K25" s="3">
        <f>'Tabla general'!K62*0.49</f>
        <v>5.6055999999999999</v>
      </c>
      <c r="L25" s="3">
        <f>'Tabla general'!L62*1.53</f>
        <v>8.576568</v>
      </c>
      <c r="M25" s="49">
        <f>'Tabla general'!N62/200</f>
        <v>1.8544999999999998</v>
      </c>
    </row>
    <row r="26" spans="1:13">
      <c r="A26" s="88" t="str">
        <f>'Tabla general'!A63</f>
        <v>SB26YUNC4-H180-11</v>
      </c>
      <c r="B26" s="3" t="str">
        <f>'Tabla general'!B63</f>
        <v>Sauvignon Blanc</v>
      </c>
      <c r="C26" s="3" t="str">
        <f>'Tabla general'!C63</f>
        <v>Curicó</v>
      </c>
      <c r="D26" s="3" t="str">
        <f>'Tabla general'!D63</f>
        <v>YUNGAY</v>
      </c>
      <c r="E26" s="3">
        <f>'Tabla general'!E63</f>
        <v>4</v>
      </c>
      <c r="F26" s="3">
        <f>'Tabla general'!F63</f>
        <v>180</v>
      </c>
      <c r="G26" s="3" t="str">
        <f>'Tabla general'!G63</f>
        <v>11</v>
      </c>
      <c r="H26" s="59">
        <f>'Tabla general'!H63</f>
        <v>46114</v>
      </c>
      <c r="I26" s="3">
        <f>'Tabla general'!I63</f>
        <v>2.97</v>
      </c>
      <c r="J26" s="3">
        <f>'Tabla general'!J63</f>
        <v>21.7</v>
      </c>
      <c r="K26" s="3">
        <f>'Tabla general'!K63*0.49</f>
        <v>5.3997999999999999</v>
      </c>
      <c r="L26" s="3">
        <f>'Tabla general'!L63*1.53</f>
        <v>8.2616940000000003</v>
      </c>
      <c r="M26" s="49">
        <f>'Tabla general'!N63/200</f>
        <v>1.956</v>
      </c>
    </row>
    <row r="27" spans="1:13">
      <c r="A27" s="88" t="str">
        <f>'Tabla general'!A64</f>
        <v>SB26YUNC4-H180-12</v>
      </c>
      <c r="B27" s="3" t="str">
        <f>'Tabla general'!B64</f>
        <v>Sauvignon Blanc</v>
      </c>
      <c r="C27" s="3" t="str">
        <f>'Tabla general'!C64</f>
        <v>Curicó</v>
      </c>
      <c r="D27" s="3" t="str">
        <f>'Tabla general'!D64</f>
        <v>YUNGAY</v>
      </c>
      <c r="E27" s="3">
        <f>'Tabla general'!E64</f>
        <v>4</v>
      </c>
      <c r="F27" s="3">
        <f>'Tabla general'!F64</f>
        <v>180</v>
      </c>
      <c r="G27" s="3">
        <f>'Tabla general'!G64</f>
        <v>12</v>
      </c>
      <c r="H27" s="59">
        <f>'Tabla general'!H64</f>
        <v>46121</v>
      </c>
      <c r="I27" s="3">
        <f>'Tabla general'!I64</f>
        <v>2.97</v>
      </c>
      <c r="J27" s="3">
        <f>'Tabla general'!J64</f>
        <v>19.399999999999999</v>
      </c>
      <c r="K27" s="3">
        <f>'Tabla general'!K64*0.49</f>
        <v>5.2380999999999993</v>
      </c>
      <c r="L27" s="3">
        <f>'Tabla general'!L64*1.53</f>
        <v>8.0142929999999986</v>
      </c>
      <c r="M27" s="49">
        <f>'Tabla general'!N64/200</f>
        <v>1.9144999999999999</v>
      </c>
    </row>
    <row r="28" spans="1:13">
      <c r="A28" s="89" t="str">
        <f>'Tabla general'!A65</f>
        <v>SB26YUNC4-H180-13</v>
      </c>
      <c r="B28" s="12" t="str">
        <f>'Tabla general'!B65</f>
        <v>Sauvignon Blanc</v>
      </c>
      <c r="C28" s="12" t="str">
        <f>'Tabla general'!C65</f>
        <v>Curicó</v>
      </c>
      <c r="D28" s="12" t="str">
        <f>'Tabla general'!D65</f>
        <v>YUNGAY</v>
      </c>
      <c r="E28" s="12">
        <f>'Tabla general'!E65</f>
        <v>4</v>
      </c>
      <c r="F28" s="12">
        <f>'Tabla general'!F65</f>
        <v>180</v>
      </c>
      <c r="G28" s="12">
        <f>'Tabla general'!G65</f>
        <v>13</v>
      </c>
      <c r="H28" s="66">
        <f>'Tabla general'!H65</f>
        <v>46127</v>
      </c>
      <c r="I28" s="12">
        <f>'Tabla general'!I65</f>
        <v>3.07</v>
      </c>
      <c r="J28" s="12">
        <f>'Tabla general'!J65</f>
        <v>21.4</v>
      </c>
      <c r="K28" s="12">
        <f>'Tabla general'!K65*0.49</f>
        <v>5.1547999999999998</v>
      </c>
      <c r="L28" s="12">
        <f>'Tabla general'!L65*1.53</f>
        <v>7.886844</v>
      </c>
      <c r="M28" s="50">
        <f>'Tabla general'!N65/200</f>
        <v>2.0444999999999998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D8A6-9003-4D21-AF8E-23973310F3E5}">
  <dimension ref="A2:M27"/>
  <sheetViews>
    <sheetView topLeftCell="A9" workbookViewId="0">
      <selection activeCell="A16" sqref="A16:M27"/>
    </sheetView>
  </sheetViews>
  <sheetFormatPr defaultColWidth="8.85546875" defaultRowHeight="14.45"/>
  <cols>
    <col min="1" max="1" width="18.85546875" bestFit="1" customWidth="1"/>
    <col min="2" max="2" width="15.42578125" bestFit="1" customWidth="1"/>
    <col min="7" max="7" width="10.710937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68">
        <v>2025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95" t="s">
        <v>0</v>
      </c>
      <c r="B3" s="101" t="s">
        <v>1</v>
      </c>
      <c r="C3" s="101" t="s">
        <v>2</v>
      </c>
      <c r="D3" s="97" t="s">
        <v>3</v>
      </c>
      <c r="E3" s="97" t="s">
        <v>4</v>
      </c>
      <c r="F3" s="97" t="s">
        <v>5</v>
      </c>
      <c r="G3" s="97" t="s">
        <v>236</v>
      </c>
      <c r="H3" s="98" t="s">
        <v>7</v>
      </c>
      <c r="I3" s="97" t="s">
        <v>8</v>
      </c>
      <c r="J3" s="97" t="s">
        <v>9</v>
      </c>
      <c r="K3" s="97" t="s">
        <v>11</v>
      </c>
      <c r="L3" s="97" t="s">
        <v>12</v>
      </c>
      <c r="M3" s="99" t="s">
        <v>15</v>
      </c>
    </row>
    <row r="4" spans="1:13">
      <c r="A4" s="75" t="s">
        <v>282</v>
      </c>
      <c r="B4" s="76" t="s">
        <v>45</v>
      </c>
      <c r="C4" s="76" t="s">
        <v>110</v>
      </c>
      <c r="D4" s="77" t="s">
        <v>125</v>
      </c>
      <c r="E4" s="77">
        <v>7</v>
      </c>
      <c r="F4" s="77">
        <v>9</v>
      </c>
      <c r="G4" s="77" t="str">
        <f t="shared" ref="G4:G12" si="0">_xlfn.TEXTAFTER(A4, "-", 2)</f>
        <v>1</v>
      </c>
      <c r="H4" s="74">
        <v>45680</v>
      </c>
      <c r="I4" s="77">
        <v>2.5299999999999998</v>
      </c>
      <c r="J4" s="77">
        <v>9.4</v>
      </c>
      <c r="K4" s="77">
        <v>17.855599999999999</v>
      </c>
      <c r="L4" s="77">
        <v>27.318999999999999</v>
      </c>
      <c r="M4" s="78">
        <v>0.75</v>
      </c>
    </row>
    <row r="5" spans="1:13">
      <c r="A5" s="57" t="s">
        <v>283</v>
      </c>
      <c r="B5" s="58" t="s">
        <v>45</v>
      </c>
      <c r="C5" s="58" t="s">
        <v>110</v>
      </c>
      <c r="D5" s="45" t="s">
        <v>125</v>
      </c>
      <c r="E5" s="45">
        <v>7</v>
      </c>
      <c r="F5" s="45">
        <v>9</v>
      </c>
      <c r="G5" s="45" t="str">
        <f t="shared" si="0"/>
        <v>2</v>
      </c>
      <c r="H5" s="59">
        <v>45684</v>
      </c>
      <c r="I5" s="45">
        <v>2.57</v>
      </c>
      <c r="J5" s="45">
        <v>12.1</v>
      </c>
      <c r="K5" s="45">
        <v>14.7196</v>
      </c>
      <c r="L5" s="45">
        <v>22.521000000000001</v>
      </c>
      <c r="M5" s="60">
        <v>0.78</v>
      </c>
    </row>
    <row r="6" spans="1:13">
      <c r="A6" s="61" t="s">
        <v>284</v>
      </c>
      <c r="B6" s="58" t="s">
        <v>45</v>
      </c>
      <c r="C6" s="58" t="s">
        <v>110</v>
      </c>
      <c r="D6" s="45" t="s">
        <v>125</v>
      </c>
      <c r="E6" s="45">
        <v>7</v>
      </c>
      <c r="F6" s="45">
        <v>9</v>
      </c>
      <c r="G6" s="45" t="str">
        <f t="shared" si="0"/>
        <v>3</v>
      </c>
      <c r="H6" s="59">
        <v>45691</v>
      </c>
      <c r="I6" s="45">
        <v>2.74</v>
      </c>
      <c r="J6" s="45">
        <v>15.4</v>
      </c>
      <c r="K6" s="45">
        <v>9.2414000000000005</v>
      </c>
      <c r="L6" s="45">
        <v>14.1393</v>
      </c>
      <c r="M6" s="60">
        <v>0.91</v>
      </c>
    </row>
    <row r="7" spans="1:13">
      <c r="A7" s="61" t="s">
        <v>285</v>
      </c>
      <c r="B7" s="58" t="s">
        <v>45</v>
      </c>
      <c r="C7" s="58" t="s">
        <v>110</v>
      </c>
      <c r="D7" s="45" t="s">
        <v>125</v>
      </c>
      <c r="E7" s="45">
        <v>7</v>
      </c>
      <c r="F7" s="45">
        <v>9</v>
      </c>
      <c r="G7" s="45" t="str">
        <f t="shared" si="0"/>
        <v>4</v>
      </c>
      <c r="H7" s="59">
        <v>45698</v>
      </c>
      <c r="I7" s="45">
        <v>2.9</v>
      </c>
      <c r="J7" s="45">
        <v>17.7</v>
      </c>
      <c r="K7" s="45">
        <v>6.0759999999999996</v>
      </c>
      <c r="L7" s="45">
        <v>9.2952999999999992</v>
      </c>
      <c r="M7" s="60">
        <v>1.1399999999999999</v>
      </c>
    </row>
    <row r="8" spans="1:13">
      <c r="A8" s="61" t="s">
        <v>286</v>
      </c>
      <c r="B8" s="58" t="s">
        <v>45</v>
      </c>
      <c r="C8" s="58" t="s">
        <v>110</v>
      </c>
      <c r="D8" s="45" t="s">
        <v>125</v>
      </c>
      <c r="E8" s="45">
        <v>7</v>
      </c>
      <c r="F8" s="45">
        <v>9</v>
      </c>
      <c r="G8" s="45" t="str">
        <f t="shared" si="0"/>
        <v>5</v>
      </c>
      <c r="H8" s="59">
        <v>45705</v>
      </c>
      <c r="I8" s="45">
        <v>3.09</v>
      </c>
      <c r="J8" s="45">
        <v>19.600000000000001</v>
      </c>
      <c r="K8" s="45">
        <v>4.4687999999999999</v>
      </c>
      <c r="L8" s="45">
        <v>6.8372999999999999</v>
      </c>
      <c r="M8" s="60">
        <v>1.23</v>
      </c>
    </row>
    <row r="9" spans="1:13">
      <c r="A9" s="61" t="s">
        <v>287</v>
      </c>
      <c r="B9" s="58" t="s">
        <v>45</v>
      </c>
      <c r="C9" s="58" t="s">
        <v>110</v>
      </c>
      <c r="D9" s="45" t="s">
        <v>125</v>
      </c>
      <c r="E9" s="45">
        <v>7</v>
      </c>
      <c r="F9" s="45">
        <v>9</v>
      </c>
      <c r="G9" s="45" t="str">
        <f t="shared" si="0"/>
        <v>6</v>
      </c>
      <c r="H9" s="59">
        <v>45713</v>
      </c>
      <c r="I9" s="45">
        <v>3.29</v>
      </c>
      <c r="J9" s="45">
        <v>22</v>
      </c>
      <c r="K9" s="45">
        <v>3.9493999999999998</v>
      </c>
      <c r="L9" s="45">
        <v>6.0426000000000002</v>
      </c>
      <c r="M9" s="60">
        <v>1.31</v>
      </c>
    </row>
    <row r="10" spans="1:13">
      <c r="A10" s="61" t="s">
        <v>288</v>
      </c>
      <c r="B10" s="58" t="s">
        <v>45</v>
      </c>
      <c r="C10" s="58" t="s">
        <v>110</v>
      </c>
      <c r="D10" s="45" t="s">
        <v>125</v>
      </c>
      <c r="E10" s="45">
        <v>7</v>
      </c>
      <c r="F10" s="45">
        <v>9</v>
      </c>
      <c r="G10" s="45" t="str">
        <f t="shared" si="0"/>
        <v>7</v>
      </c>
      <c r="H10" s="59">
        <v>45719</v>
      </c>
      <c r="I10" s="45">
        <v>3.38</v>
      </c>
      <c r="J10" s="45">
        <v>22.9</v>
      </c>
      <c r="K10" s="45">
        <v>3.3123999999999998</v>
      </c>
      <c r="L10" s="45">
        <v>5.0679999999999996</v>
      </c>
      <c r="M10" s="60">
        <v>1.4</v>
      </c>
    </row>
    <row r="11" spans="1:13">
      <c r="A11" s="61" t="s">
        <v>289</v>
      </c>
      <c r="B11" s="58" t="s">
        <v>45</v>
      </c>
      <c r="C11" s="58" t="s">
        <v>110</v>
      </c>
      <c r="D11" s="45" t="s">
        <v>125</v>
      </c>
      <c r="E11" s="45">
        <v>7</v>
      </c>
      <c r="F11" s="45">
        <v>9</v>
      </c>
      <c r="G11" s="45" t="str">
        <f t="shared" si="0"/>
        <v>8</v>
      </c>
      <c r="H11" s="59">
        <v>45728</v>
      </c>
      <c r="I11" s="45">
        <v>3.51</v>
      </c>
      <c r="J11" s="45">
        <v>24.4</v>
      </c>
      <c r="K11" s="45">
        <v>2.8028</v>
      </c>
      <c r="L11" s="45">
        <v>4.2882999999999996</v>
      </c>
      <c r="M11" s="60">
        <v>1.58</v>
      </c>
    </row>
    <row r="12" spans="1:13">
      <c r="A12" s="63" t="s">
        <v>290</v>
      </c>
      <c r="B12" s="64" t="s">
        <v>45</v>
      </c>
      <c r="C12" s="64" t="s">
        <v>110</v>
      </c>
      <c r="D12" s="65" t="s">
        <v>125</v>
      </c>
      <c r="E12" s="65">
        <v>7</v>
      </c>
      <c r="F12" s="65">
        <v>9</v>
      </c>
      <c r="G12" s="65" t="str">
        <f t="shared" si="0"/>
        <v>9</v>
      </c>
      <c r="H12" s="66">
        <v>45734</v>
      </c>
      <c r="I12" s="65">
        <v>3.66</v>
      </c>
      <c r="J12" s="65">
        <v>25.3</v>
      </c>
      <c r="K12" s="65">
        <v>2.7488999999999999</v>
      </c>
      <c r="L12" s="65">
        <v>4.2058</v>
      </c>
      <c r="M12" s="67">
        <v>1.48</v>
      </c>
    </row>
    <row r="13" spans="1: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>
      <c r="A14" s="68">
        <v>2026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>
      <c r="A15" s="95" t="s">
        <v>0</v>
      </c>
      <c r="B15" s="101" t="s">
        <v>1</v>
      </c>
      <c r="C15" s="101" t="s">
        <v>2</v>
      </c>
      <c r="D15" s="97" t="s">
        <v>3</v>
      </c>
      <c r="E15" s="97" t="s">
        <v>4</v>
      </c>
      <c r="F15" s="97" t="s">
        <v>5</v>
      </c>
      <c r="G15" s="97" t="s">
        <v>236</v>
      </c>
      <c r="H15" s="98" t="s">
        <v>7</v>
      </c>
      <c r="I15" s="97" t="s">
        <v>8</v>
      </c>
      <c r="J15" s="97" t="s">
        <v>9</v>
      </c>
      <c r="K15" s="97" t="s">
        <v>11</v>
      </c>
      <c r="L15" s="97" t="s">
        <v>12</v>
      </c>
      <c r="M15" s="99" t="s">
        <v>15</v>
      </c>
    </row>
    <row r="16" spans="1:13">
      <c r="A16" s="83" t="str">
        <f>'Tabla general'!A66</f>
        <v>SB26RAUC7-H9-1</v>
      </c>
      <c r="B16" s="77" t="str">
        <f>'Tabla general'!B66</f>
        <v>Sauvignon Blanc</v>
      </c>
      <c r="C16" s="77" t="str">
        <f>'Tabla general'!C66</f>
        <v>Curicó</v>
      </c>
      <c r="D16" s="77" t="str">
        <f>'Tabla general'!D66</f>
        <v>RAUCO</v>
      </c>
      <c r="E16" s="77">
        <f>'Tabla general'!E66</f>
        <v>7</v>
      </c>
      <c r="F16" s="77">
        <f>'Tabla general'!F66</f>
        <v>9</v>
      </c>
      <c r="G16" s="77" t="str">
        <f>'Tabla general'!G66</f>
        <v>1</v>
      </c>
      <c r="H16" s="74">
        <f>'Tabla general'!H66</f>
        <v>46044</v>
      </c>
      <c r="I16" s="77">
        <f>'Tabla general'!I66</f>
        <v>2.76</v>
      </c>
      <c r="J16" s="77">
        <f>'Tabla general'!J66</f>
        <v>13.6</v>
      </c>
      <c r="K16" s="77">
        <f>'Tabla general'!K66*0.49</f>
        <v>12.2745</v>
      </c>
      <c r="L16" s="77">
        <f>'Tabla general'!L66*1.53</f>
        <v>18.779985</v>
      </c>
      <c r="M16" s="78">
        <f>'Tabla general'!N66/200</f>
        <v>0.92965000000000009</v>
      </c>
    </row>
    <row r="17" spans="1:13">
      <c r="A17" s="84" t="str">
        <f>'Tabla general'!A67</f>
        <v>SB26RAUC7-H9-2</v>
      </c>
      <c r="B17" s="45" t="str">
        <f>'Tabla general'!B67</f>
        <v>Sauvignon Blanc</v>
      </c>
      <c r="C17" s="45" t="str">
        <f>'Tabla general'!C67</f>
        <v>Curicó</v>
      </c>
      <c r="D17" s="45" t="str">
        <f>'Tabla general'!D67</f>
        <v>RAUCO</v>
      </c>
      <c r="E17" s="45">
        <f>'Tabla general'!E67</f>
        <v>7</v>
      </c>
      <c r="F17" s="45">
        <f>'Tabla general'!F67</f>
        <v>9</v>
      </c>
      <c r="G17" s="45" t="str">
        <f>'Tabla general'!G67</f>
        <v>2</v>
      </c>
      <c r="H17" s="59">
        <f>'Tabla general'!H67</f>
        <v>46050</v>
      </c>
      <c r="I17" s="45">
        <f>'Tabla general'!I67</f>
        <v>3</v>
      </c>
      <c r="J17" s="45">
        <f>'Tabla general'!J67</f>
        <v>16.3</v>
      </c>
      <c r="K17" s="45">
        <f>'Tabla general'!K67*0.49</f>
        <v>6.0759999999999996</v>
      </c>
      <c r="L17" s="45">
        <f>'Tabla general'!L67*1.53</f>
        <v>9.2962799999999994</v>
      </c>
      <c r="M17" s="60">
        <f>'Tabla general'!N67/200</f>
        <v>1.07795</v>
      </c>
    </row>
    <row r="18" spans="1:13">
      <c r="A18" s="84" t="str">
        <f>'Tabla general'!A68</f>
        <v>SB26RAUC7-H9-3</v>
      </c>
      <c r="B18" s="45" t="str">
        <f>'Tabla general'!B68</f>
        <v>Sauvignon Blanc</v>
      </c>
      <c r="C18" s="45" t="str">
        <f>'Tabla general'!C68</f>
        <v>Curicó</v>
      </c>
      <c r="D18" s="45" t="str">
        <f>'Tabla general'!D68</f>
        <v>RAUCO</v>
      </c>
      <c r="E18" s="45">
        <f>'Tabla general'!E68</f>
        <v>7</v>
      </c>
      <c r="F18" s="45">
        <f>'Tabla general'!F68</f>
        <v>9</v>
      </c>
      <c r="G18" s="45" t="str">
        <f>'Tabla general'!G68</f>
        <v>3</v>
      </c>
      <c r="H18" s="59">
        <f>'Tabla general'!H68</f>
        <v>46057</v>
      </c>
      <c r="I18" s="45">
        <f>'Tabla general'!I68</f>
        <v>3.07</v>
      </c>
      <c r="J18" s="45">
        <f>'Tabla general'!J68</f>
        <v>17.5</v>
      </c>
      <c r="K18" s="45">
        <f>'Tabla general'!K68*0.49</f>
        <v>5.1352000000000002</v>
      </c>
      <c r="L18" s="45">
        <f>'Tabla general'!L68*1.53</f>
        <v>7.8568560000000005</v>
      </c>
      <c r="M18" s="60">
        <f>'Tabla general'!N68/200</f>
        <v>1.3780000000000001</v>
      </c>
    </row>
    <row r="19" spans="1:13">
      <c r="A19" s="84" t="str">
        <f>'Tabla general'!A69</f>
        <v>SB26RAUC7-H9-4</v>
      </c>
      <c r="B19" s="45" t="str">
        <f>'Tabla general'!B69</f>
        <v>Sauvignon Blanc</v>
      </c>
      <c r="C19" s="45" t="str">
        <f>'Tabla general'!C69</f>
        <v>Curicó</v>
      </c>
      <c r="D19" s="45" t="str">
        <f>'Tabla general'!D69</f>
        <v>RAUCO</v>
      </c>
      <c r="E19" s="45">
        <f>'Tabla general'!E69</f>
        <v>7</v>
      </c>
      <c r="F19" s="45">
        <f>'Tabla general'!F69</f>
        <v>9</v>
      </c>
      <c r="G19" s="45" t="str">
        <f>'Tabla general'!G69</f>
        <v>4</v>
      </c>
      <c r="H19" s="59">
        <f>'Tabla general'!H69</f>
        <v>46064</v>
      </c>
      <c r="I19" s="45">
        <f>'Tabla general'!I69</f>
        <v>3.2</v>
      </c>
      <c r="J19" s="45">
        <f>'Tabla general'!J69</f>
        <v>19.399999999999999</v>
      </c>
      <c r="K19" s="45">
        <f>'Tabla general'!K69*0.49</f>
        <v>4.5275999999999996</v>
      </c>
      <c r="L19" s="45">
        <f>'Tabla general'!L69*1.53</f>
        <v>6.9272279999999995</v>
      </c>
      <c r="M19" s="60">
        <f>'Tabla general'!N69/200</f>
        <v>1.4265000000000001</v>
      </c>
    </row>
    <row r="20" spans="1:13">
      <c r="A20" s="84" t="str">
        <f>'Tabla general'!A70</f>
        <v>SB26RAUC7-H9-5</v>
      </c>
      <c r="B20" s="45" t="str">
        <f>'Tabla general'!B70</f>
        <v>Sauvignon Blanc</v>
      </c>
      <c r="C20" s="45" t="str">
        <f>'Tabla general'!C70</f>
        <v>Curicó</v>
      </c>
      <c r="D20" s="45" t="str">
        <f>'Tabla general'!D70</f>
        <v>RAUCO</v>
      </c>
      <c r="E20" s="45">
        <f>'Tabla general'!E70</f>
        <v>7</v>
      </c>
      <c r="F20" s="45">
        <f>'Tabla general'!F70</f>
        <v>9</v>
      </c>
      <c r="G20" s="45" t="str">
        <f>'Tabla general'!G70</f>
        <v>5</v>
      </c>
      <c r="H20" s="59">
        <f>'Tabla general'!H70</f>
        <v>46071</v>
      </c>
      <c r="I20" s="45">
        <f>'Tabla general'!I70</f>
        <v>3.28</v>
      </c>
      <c r="J20" s="45">
        <f>'Tabla general'!J70</f>
        <v>21.1</v>
      </c>
      <c r="K20" s="45">
        <f>'Tabla general'!K70*0.49</f>
        <v>3.5377999999999998</v>
      </c>
      <c r="L20" s="45">
        <f>'Tabla general'!L70*1.53</f>
        <v>5.4128340000000001</v>
      </c>
      <c r="M20" s="60">
        <f>'Tabla general'!N70/200</f>
        <v>1.4424999999999999</v>
      </c>
    </row>
    <row r="21" spans="1:13">
      <c r="A21" s="84" t="str">
        <f>'Tabla general'!A71</f>
        <v>SB26RAUC7-H9-6</v>
      </c>
      <c r="B21" s="45" t="str">
        <f>'Tabla general'!B71</f>
        <v>Sauvignon Blanc</v>
      </c>
      <c r="C21" s="45" t="str">
        <f>'Tabla general'!C71</f>
        <v>Curicó</v>
      </c>
      <c r="D21" s="45" t="str">
        <f>'Tabla general'!D71</f>
        <v>RAUCO</v>
      </c>
      <c r="E21" s="45">
        <f>'Tabla general'!E71</f>
        <v>7</v>
      </c>
      <c r="F21" s="45">
        <f>'Tabla general'!F71</f>
        <v>9</v>
      </c>
      <c r="G21" s="45" t="str">
        <f>'Tabla general'!G71</f>
        <v>6</v>
      </c>
      <c r="H21" s="59">
        <f>'Tabla general'!H71</f>
        <v>46078</v>
      </c>
      <c r="I21" s="45">
        <f>'Tabla general'!I71</f>
        <v>3.33</v>
      </c>
      <c r="J21" s="45">
        <f>'Tabla general'!J71</f>
        <v>23.4</v>
      </c>
      <c r="K21" s="45">
        <f>'Tabla general'!K71*0.49</f>
        <v>3.0869999999999997</v>
      </c>
      <c r="L21" s="45">
        <f>'Tabla general'!L71*1.53</f>
        <v>4.7231099999999993</v>
      </c>
      <c r="M21" s="60">
        <f>'Tabla general'!N71/200</f>
        <v>1.3055000000000001</v>
      </c>
    </row>
    <row r="22" spans="1:13">
      <c r="A22" s="84" t="str">
        <f>'Tabla general'!A72</f>
        <v>SB26RAUC7-H9-7</v>
      </c>
      <c r="B22" s="45" t="str">
        <f>'Tabla general'!B72</f>
        <v>Sauvignon Blanc</v>
      </c>
      <c r="C22" s="45" t="str">
        <f>'Tabla general'!C72</f>
        <v>Curicó</v>
      </c>
      <c r="D22" s="45" t="str">
        <f>'Tabla general'!D72</f>
        <v>RAUCO</v>
      </c>
      <c r="E22" s="45">
        <f>'Tabla general'!E72</f>
        <v>7</v>
      </c>
      <c r="F22" s="45">
        <f>'Tabla general'!F72</f>
        <v>9</v>
      </c>
      <c r="G22" s="45" t="str">
        <f>'Tabla general'!G72</f>
        <v>7</v>
      </c>
      <c r="H22" s="59">
        <f>'Tabla general'!H72</f>
        <v>46085</v>
      </c>
      <c r="I22" s="45">
        <f>'Tabla general'!I72</f>
        <v>3.41</v>
      </c>
      <c r="J22" s="45">
        <f>'Tabla general'!J72</f>
        <v>24.3</v>
      </c>
      <c r="K22" s="45">
        <f>'Tabla general'!K72*0.49</f>
        <v>3.0771999999999999</v>
      </c>
      <c r="L22" s="45">
        <f>'Tabla general'!L72*1.53</f>
        <v>4.7081160000000004</v>
      </c>
      <c r="M22" s="60">
        <f>'Tabla general'!N72/200</f>
        <v>1.3285</v>
      </c>
    </row>
    <row r="23" spans="1:13">
      <c r="A23" s="84" t="str">
        <f>'Tabla general'!A73</f>
        <v>SB26RAUC7-H9-8</v>
      </c>
      <c r="B23" s="45" t="str">
        <f>'Tabla general'!B73</f>
        <v>Sauvignon Blanc</v>
      </c>
      <c r="C23" s="45" t="str">
        <f>'Tabla general'!C73</f>
        <v>Curicó</v>
      </c>
      <c r="D23" s="45" t="str">
        <f>'Tabla general'!D73</f>
        <v>RAUCO</v>
      </c>
      <c r="E23" s="45">
        <f>'Tabla general'!E73</f>
        <v>7</v>
      </c>
      <c r="F23" s="45">
        <f>'Tabla general'!F73</f>
        <v>9</v>
      </c>
      <c r="G23" s="45" t="str">
        <f>'Tabla general'!G73</f>
        <v>8</v>
      </c>
      <c r="H23" s="59">
        <f>'Tabla general'!H73</f>
        <v>46092</v>
      </c>
      <c r="I23" s="45">
        <f>'Tabla general'!I73</f>
        <v>3.3</v>
      </c>
      <c r="J23" s="45">
        <f>'Tabla general'!J73</f>
        <v>24.9</v>
      </c>
      <c r="K23" s="45">
        <f>'Tabla general'!K73*0.49</f>
        <v>2.9988000000000001</v>
      </c>
      <c r="L23" s="45">
        <f>'Tabla general'!L73*1.53</f>
        <v>4.5881639999999999</v>
      </c>
      <c r="M23" s="60">
        <f>'Tabla general'!N73/200</f>
        <v>1.2315</v>
      </c>
    </row>
    <row r="24" spans="1:13">
      <c r="A24" s="84" t="str">
        <f>'Tabla general'!A74</f>
        <v>SB26RAUC7-H9-9</v>
      </c>
      <c r="B24" s="45" t="str">
        <f>'Tabla general'!B74</f>
        <v>Sauvignon Blanc</v>
      </c>
      <c r="C24" s="45" t="str">
        <f>'Tabla general'!C74</f>
        <v>Curicó</v>
      </c>
      <c r="D24" s="45" t="str">
        <f>'Tabla general'!D74</f>
        <v>RAUCO</v>
      </c>
      <c r="E24" s="45">
        <f>'Tabla general'!E74</f>
        <v>7</v>
      </c>
      <c r="F24" s="45">
        <f>'Tabla general'!F74</f>
        <v>9</v>
      </c>
      <c r="G24" s="45" t="str">
        <f>'Tabla general'!G74</f>
        <v>9</v>
      </c>
      <c r="H24" s="59">
        <f>'Tabla general'!H74</f>
        <v>46099</v>
      </c>
      <c r="I24" s="45">
        <f>'Tabla general'!I74</f>
        <v>3.45</v>
      </c>
      <c r="J24" s="45">
        <f>'Tabla general'!J74</f>
        <v>25.8</v>
      </c>
      <c r="K24" s="45">
        <f>'Tabla general'!K74*0.49</f>
        <v>2.3519999999999999</v>
      </c>
      <c r="L24" s="45">
        <f>'Tabla general'!L74*1.53</f>
        <v>3.59856</v>
      </c>
      <c r="M24" s="60">
        <f>'Tabla general'!N74/200</f>
        <v>1.0780000000000001</v>
      </c>
    </row>
    <row r="25" spans="1:13">
      <c r="A25" s="84" t="str">
        <f>'Tabla general'!A75</f>
        <v>SB26RAUC7-H9-10</v>
      </c>
      <c r="B25" s="45" t="str">
        <f>'Tabla general'!B75</f>
        <v>Sauvignon Blanc</v>
      </c>
      <c r="C25" s="45" t="str">
        <f>'Tabla general'!C75</f>
        <v>Curicó</v>
      </c>
      <c r="D25" s="45" t="str">
        <f>'Tabla general'!D75</f>
        <v>RAUCO</v>
      </c>
      <c r="E25" s="45">
        <f>'Tabla general'!E75</f>
        <v>7</v>
      </c>
      <c r="F25" s="45">
        <f>'Tabla general'!F75</f>
        <v>9</v>
      </c>
      <c r="G25" s="45" t="str">
        <f>'Tabla general'!G75</f>
        <v>10</v>
      </c>
      <c r="H25" s="59">
        <f>'Tabla general'!H75</f>
        <v>46105</v>
      </c>
      <c r="I25" s="45">
        <f>'Tabla general'!I75</f>
        <v>3.57</v>
      </c>
      <c r="J25" s="45">
        <f>'Tabla general'!J75</f>
        <v>25.4</v>
      </c>
      <c r="K25" s="45">
        <f>'Tabla general'!K75*0.49</f>
        <v>2.0873999999999997</v>
      </c>
      <c r="L25" s="45">
        <f>'Tabla general'!L75*1.53</f>
        <v>3.1937219999999997</v>
      </c>
      <c r="M25" s="60">
        <f>'Tabla general'!N75/200</f>
        <v>1.5290000000000001</v>
      </c>
    </row>
    <row r="26" spans="1:13">
      <c r="A26" s="84" t="str">
        <f>'Tabla general'!A76</f>
        <v>SB26RAUC7-H9-11</v>
      </c>
      <c r="B26" s="45" t="str">
        <f>'Tabla general'!B76</f>
        <v>Sauvignon Blanc</v>
      </c>
      <c r="C26" s="45" t="str">
        <f>'Tabla general'!C76</f>
        <v>Curicó</v>
      </c>
      <c r="D26" s="45" t="str">
        <f>'Tabla general'!D76</f>
        <v>RAUCO</v>
      </c>
      <c r="E26" s="45">
        <f>'Tabla general'!E76</f>
        <v>7</v>
      </c>
      <c r="F26" s="45">
        <f>'Tabla general'!F76</f>
        <v>9</v>
      </c>
      <c r="G26" s="45" t="str">
        <f>'Tabla general'!G76</f>
        <v>11</v>
      </c>
      <c r="H26" s="59">
        <f>'Tabla general'!H76</f>
        <v>46113</v>
      </c>
      <c r="I26" s="45">
        <f>'Tabla general'!I76</f>
        <v>3.32</v>
      </c>
      <c r="J26" s="45">
        <f>'Tabla general'!J76</f>
        <v>26</v>
      </c>
      <c r="K26" s="45">
        <f>'Tabla general'!K76*0.49</f>
        <v>2.6410999999999998</v>
      </c>
      <c r="L26" s="45">
        <f>'Tabla general'!L76*1.53</f>
        <v>4.040883</v>
      </c>
      <c r="M26" s="60">
        <f>'Tabla general'!N76/200</f>
        <v>1.1779999999999999</v>
      </c>
    </row>
    <row r="27" spans="1:13">
      <c r="A27" s="85" t="str">
        <f>'Tabla general'!A77</f>
        <v>SB26RAUC7-H9-12</v>
      </c>
      <c r="B27" s="65" t="str">
        <f>'Tabla general'!B77</f>
        <v>Sauvignon Blanc</v>
      </c>
      <c r="C27" s="65" t="str">
        <f>'Tabla general'!C77</f>
        <v>Curicó</v>
      </c>
      <c r="D27" s="65" t="str">
        <f>'Tabla general'!D77</f>
        <v>RAUCO</v>
      </c>
      <c r="E27" s="65">
        <f>'Tabla general'!E77</f>
        <v>7</v>
      </c>
      <c r="F27" s="65">
        <f>'Tabla general'!F77</f>
        <v>9</v>
      </c>
      <c r="G27" s="65">
        <f>'Tabla general'!G77</f>
        <v>12</v>
      </c>
      <c r="H27" s="66">
        <f>'Tabla general'!H77</f>
        <v>46120</v>
      </c>
      <c r="I27" s="65">
        <f>'Tabla general'!I77</f>
        <v>3.46</v>
      </c>
      <c r="J27" s="65">
        <f>'Tabla general'!J77</f>
        <v>25.8</v>
      </c>
      <c r="K27" s="65">
        <f>'Tabla general'!K77*0.49</f>
        <v>2.7734000000000001</v>
      </c>
      <c r="L27" s="65">
        <f>'Tabla general'!L77*1.53</f>
        <v>4.2433019999999999</v>
      </c>
      <c r="M27" s="67">
        <f>'Tabla general'!N77/200</f>
        <v>1.24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AD76-2449-41E9-B220-F537ECB3C5F1}">
  <dimension ref="A2:M28"/>
  <sheetViews>
    <sheetView topLeftCell="A8" workbookViewId="0">
      <selection activeCell="H25" sqref="H25"/>
    </sheetView>
  </sheetViews>
  <sheetFormatPr defaultColWidth="8.85546875" defaultRowHeight="14.45"/>
  <cols>
    <col min="1" max="1" width="18.85546875" bestFit="1" customWidth="1"/>
    <col min="2" max="2" width="15.42578125" bestFit="1" customWidth="1"/>
    <col min="4" max="4" width="13.4257812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68">
        <v>2025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91" t="s">
        <v>0</v>
      </c>
      <c r="B3" s="100" t="s">
        <v>1</v>
      </c>
      <c r="C3" s="100" t="s">
        <v>2</v>
      </c>
      <c r="D3" s="92" t="s">
        <v>3</v>
      </c>
      <c r="E3" s="92" t="s">
        <v>4</v>
      </c>
      <c r="F3" s="92" t="s">
        <v>5</v>
      </c>
      <c r="G3" s="92" t="s">
        <v>236</v>
      </c>
      <c r="H3" s="93" t="s">
        <v>7</v>
      </c>
      <c r="I3" s="92" t="s">
        <v>8</v>
      </c>
      <c r="J3" s="92" t="s">
        <v>9</v>
      </c>
      <c r="K3" s="92" t="s">
        <v>11</v>
      </c>
      <c r="L3" s="92" t="s">
        <v>12</v>
      </c>
      <c r="M3" s="94" t="s">
        <v>15</v>
      </c>
    </row>
    <row r="4" spans="1:13">
      <c r="A4" s="57" t="s">
        <v>291</v>
      </c>
      <c r="B4" s="58" t="s">
        <v>45</v>
      </c>
      <c r="C4" s="58" t="s">
        <v>138</v>
      </c>
      <c r="D4" s="45" t="s">
        <v>139</v>
      </c>
      <c r="E4" s="45">
        <v>27</v>
      </c>
      <c r="F4" s="45" t="s">
        <v>140</v>
      </c>
      <c r="G4" s="45" t="str">
        <f t="shared" ref="G4:G12" si="0">_xlfn.TEXTAFTER(A4, "-", 2)</f>
        <v>1</v>
      </c>
      <c r="H4" s="59">
        <v>45680</v>
      </c>
      <c r="I4" s="45">
        <v>2.57</v>
      </c>
      <c r="J4" s="45">
        <v>11.9</v>
      </c>
      <c r="K4" s="45">
        <v>18.521999999999998</v>
      </c>
      <c r="L4" s="45">
        <v>28.338699999999999</v>
      </c>
      <c r="M4" s="60">
        <v>1.17</v>
      </c>
    </row>
    <row r="5" spans="1:13">
      <c r="A5" s="61" t="s">
        <v>292</v>
      </c>
      <c r="B5" s="58" t="s">
        <v>45</v>
      </c>
      <c r="C5" s="58" t="s">
        <v>138</v>
      </c>
      <c r="D5" s="45" t="s">
        <v>139</v>
      </c>
      <c r="E5" s="45">
        <v>27</v>
      </c>
      <c r="F5" s="45" t="s">
        <v>140</v>
      </c>
      <c r="G5" s="45" t="str">
        <f t="shared" si="0"/>
        <v>2</v>
      </c>
      <c r="H5" s="59">
        <v>45685</v>
      </c>
      <c r="I5" s="45">
        <v>2.54</v>
      </c>
      <c r="J5" s="45">
        <v>13.3</v>
      </c>
      <c r="K5" s="45">
        <v>15.797599999999999</v>
      </c>
      <c r="L5" s="45">
        <v>24.170300000000001</v>
      </c>
      <c r="M5" s="60">
        <v>1.26</v>
      </c>
    </row>
    <row r="6" spans="1:13">
      <c r="A6" s="57" t="s">
        <v>293</v>
      </c>
      <c r="B6" s="58" t="s">
        <v>45</v>
      </c>
      <c r="C6" s="58" t="s">
        <v>138</v>
      </c>
      <c r="D6" s="45" t="s">
        <v>139</v>
      </c>
      <c r="E6" s="45">
        <v>27</v>
      </c>
      <c r="F6" s="45" t="s">
        <v>140</v>
      </c>
      <c r="G6" s="45" t="str">
        <f t="shared" si="0"/>
        <v>3</v>
      </c>
      <c r="H6" s="59">
        <v>45693</v>
      </c>
      <c r="I6" s="45">
        <v>2.94</v>
      </c>
      <c r="J6" s="45">
        <v>17.8</v>
      </c>
      <c r="K6" s="45">
        <v>9.6530000000000005</v>
      </c>
      <c r="L6" s="45">
        <v>14.7691</v>
      </c>
      <c r="M6" s="60">
        <v>1.45</v>
      </c>
    </row>
    <row r="7" spans="1:13">
      <c r="A7" s="61" t="s">
        <v>294</v>
      </c>
      <c r="B7" s="58" t="s">
        <v>45</v>
      </c>
      <c r="C7" s="58" t="s">
        <v>138</v>
      </c>
      <c r="D7" s="45" t="s">
        <v>139</v>
      </c>
      <c r="E7" s="45">
        <v>27</v>
      </c>
      <c r="F7" s="45" t="s">
        <v>140</v>
      </c>
      <c r="G7" s="45" t="str">
        <f t="shared" si="0"/>
        <v>4</v>
      </c>
      <c r="H7" s="59">
        <v>45699</v>
      </c>
      <c r="I7" s="45">
        <v>2.96</v>
      </c>
      <c r="J7" s="45">
        <v>19.100000000000001</v>
      </c>
      <c r="K7" s="45">
        <v>9.1237999999999992</v>
      </c>
      <c r="L7" s="45">
        <v>13.9594</v>
      </c>
      <c r="M7" s="60">
        <v>1.6</v>
      </c>
    </row>
    <row r="8" spans="1:13">
      <c r="A8" s="61" t="s">
        <v>295</v>
      </c>
      <c r="B8" s="58" t="s">
        <v>45</v>
      </c>
      <c r="C8" s="58" t="s">
        <v>138</v>
      </c>
      <c r="D8" s="45" t="s">
        <v>139</v>
      </c>
      <c r="E8" s="45">
        <v>27</v>
      </c>
      <c r="F8" s="45" t="s">
        <v>140</v>
      </c>
      <c r="G8" s="45" t="str">
        <f t="shared" si="0"/>
        <v>5</v>
      </c>
      <c r="H8" s="59">
        <v>45707</v>
      </c>
      <c r="I8" s="45">
        <v>3.02</v>
      </c>
      <c r="J8" s="45">
        <v>21.7</v>
      </c>
      <c r="K8" s="45">
        <v>7.3891999999999998</v>
      </c>
      <c r="L8" s="45">
        <v>11.3055</v>
      </c>
      <c r="M8" s="60">
        <v>1.74</v>
      </c>
    </row>
    <row r="9" spans="1:13">
      <c r="A9" s="61" t="s">
        <v>296</v>
      </c>
      <c r="B9" s="58" t="s">
        <v>45</v>
      </c>
      <c r="C9" s="58" t="s">
        <v>138</v>
      </c>
      <c r="D9" s="45" t="s">
        <v>139</v>
      </c>
      <c r="E9" s="45">
        <v>27</v>
      </c>
      <c r="F9" s="45" t="s">
        <v>140</v>
      </c>
      <c r="G9" s="45" t="str">
        <f t="shared" si="0"/>
        <v>6</v>
      </c>
      <c r="H9" s="59">
        <v>45715</v>
      </c>
      <c r="I9" s="45">
        <v>3.09</v>
      </c>
      <c r="J9" s="45">
        <v>23.6</v>
      </c>
      <c r="K9" s="45">
        <v>6.125</v>
      </c>
      <c r="L9" s="45">
        <v>9.3712999999999997</v>
      </c>
      <c r="M9" s="60">
        <v>1.66</v>
      </c>
    </row>
    <row r="10" spans="1:13">
      <c r="A10" s="61" t="s">
        <v>297</v>
      </c>
      <c r="B10" s="58" t="s">
        <v>45</v>
      </c>
      <c r="C10" s="58" t="s">
        <v>138</v>
      </c>
      <c r="D10" s="45" t="s">
        <v>139</v>
      </c>
      <c r="E10" s="45">
        <v>27</v>
      </c>
      <c r="F10" s="45" t="s">
        <v>140</v>
      </c>
      <c r="G10" s="45" t="str">
        <f t="shared" si="0"/>
        <v>7</v>
      </c>
      <c r="H10" s="59" t="s">
        <v>298</v>
      </c>
      <c r="I10" s="45">
        <v>3.26</v>
      </c>
      <c r="J10" s="45">
        <v>24.3</v>
      </c>
      <c r="K10" s="45">
        <v>5.9584000000000001</v>
      </c>
      <c r="L10" s="45">
        <v>9.1164000000000005</v>
      </c>
      <c r="M10" s="60">
        <v>1.92</v>
      </c>
    </row>
    <row r="11" spans="1:13">
      <c r="A11" s="61" t="s">
        <v>299</v>
      </c>
      <c r="B11" s="58" t="s">
        <v>45</v>
      </c>
      <c r="C11" s="58" t="s">
        <v>138</v>
      </c>
      <c r="D11" s="45" t="s">
        <v>139</v>
      </c>
      <c r="E11" s="45">
        <v>27</v>
      </c>
      <c r="F11" s="45" t="s">
        <v>140</v>
      </c>
      <c r="G11" s="45" t="str">
        <f t="shared" si="0"/>
        <v>8</v>
      </c>
      <c r="H11" s="59">
        <v>45726</v>
      </c>
      <c r="I11" s="45">
        <v>3.35</v>
      </c>
      <c r="J11" s="45">
        <v>25.3</v>
      </c>
      <c r="K11" s="45">
        <v>5.5271999999999997</v>
      </c>
      <c r="L11" s="45">
        <v>8.4565999999999999</v>
      </c>
      <c r="M11" s="60">
        <v>1.92</v>
      </c>
    </row>
    <row r="12" spans="1:13">
      <c r="A12" s="63" t="s">
        <v>300</v>
      </c>
      <c r="B12" s="64" t="s">
        <v>45</v>
      </c>
      <c r="C12" s="64" t="s">
        <v>138</v>
      </c>
      <c r="D12" s="65" t="s">
        <v>139</v>
      </c>
      <c r="E12" s="65">
        <v>27</v>
      </c>
      <c r="F12" s="65" t="s">
        <v>140</v>
      </c>
      <c r="G12" s="65" t="str">
        <f t="shared" si="0"/>
        <v>9</v>
      </c>
      <c r="H12" s="66">
        <v>45733</v>
      </c>
      <c r="I12" s="65">
        <v>3.4</v>
      </c>
      <c r="J12" s="65">
        <v>25.9</v>
      </c>
      <c r="K12" s="65">
        <v>4.7530000000000001</v>
      </c>
      <c r="L12" s="65">
        <v>7.2721</v>
      </c>
      <c r="M12" s="67">
        <v>1.84</v>
      </c>
    </row>
    <row r="13" spans="1: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>
      <c r="A14" s="68">
        <v>2026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>
      <c r="A15" s="95" t="s">
        <v>0</v>
      </c>
      <c r="B15" s="101" t="s">
        <v>1</v>
      </c>
      <c r="C15" s="101" t="s">
        <v>2</v>
      </c>
      <c r="D15" s="97" t="s">
        <v>3</v>
      </c>
      <c r="E15" s="97" t="s">
        <v>4</v>
      </c>
      <c r="F15" s="97" t="s">
        <v>5</v>
      </c>
      <c r="G15" s="97" t="s">
        <v>236</v>
      </c>
      <c r="H15" s="98" t="s">
        <v>7</v>
      </c>
      <c r="I15" s="97" t="s">
        <v>8</v>
      </c>
      <c r="J15" s="97" t="s">
        <v>9</v>
      </c>
      <c r="K15" s="97" t="s">
        <v>11</v>
      </c>
      <c r="L15" s="97" t="s">
        <v>12</v>
      </c>
      <c r="M15" s="99" t="s">
        <v>15</v>
      </c>
    </row>
    <row r="16" spans="1:13">
      <c r="A16" s="83" t="str">
        <f>'Tabla general'!A78</f>
        <v>SB26ISAC27-SH-1</v>
      </c>
      <c r="B16" s="77" t="str">
        <f>'Tabla general'!B78</f>
        <v>Sauvignon Blanc</v>
      </c>
      <c r="C16" s="77" t="str">
        <f>'Tabla general'!C78</f>
        <v>Maipo</v>
      </c>
      <c r="D16" s="77" t="str">
        <f>'Tabla general'!D78</f>
        <v>SANTA ISABEL</v>
      </c>
      <c r="E16" s="77">
        <f>'Tabla general'!E78</f>
        <v>27</v>
      </c>
      <c r="F16" s="77" t="str">
        <f>'Tabla general'!F78</f>
        <v>SH</v>
      </c>
      <c r="G16" s="77" t="str">
        <f>'Tabla general'!G78</f>
        <v>1</v>
      </c>
      <c r="H16" s="74">
        <f>'Tabla general'!H78</f>
        <v>46042</v>
      </c>
      <c r="I16" s="77">
        <f>'Tabla general'!I78</f>
        <v>2.67</v>
      </c>
      <c r="J16" s="77">
        <f>'Tabla general'!J78</f>
        <v>12.7</v>
      </c>
      <c r="K16" s="77">
        <f>'Tabla general'!K78*0.49</f>
        <v>17.130400000000002</v>
      </c>
      <c r="L16" s="77">
        <f>'Tabla general'!L78*1.53</f>
        <v>26.209512000000004</v>
      </c>
      <c r="M16" s="78">
        <f>'Tabla general'!N78/200</f>
        <v>1.2671999999999999</v>
      </c>
    </row>
    <row r="17" spans="1:13">
      <c r="A17" s="84" t="str">
        <f>'Tabla general'!A79</f>
        <v>SB26ISAC27-SH-2</v>
      </c>
      <c r="B17" s="45" t="str">
        <f>'Tabla general'!B79</f>
        <v>Sauvignon Blanc</v>
      </c>
      <c r="C17" s="45" t="str">
        <f>'Tabla general'!C79</f>
        <v>Maipo</v>
      </c>
      <c r="D17" s="45" t="str">
        <f>'Tabla general'!D79</f>
        <v>SANTA ISABEL</v>
      </c>
      <c r="E17" s="45">
        <f>'Tabla general'!E79</f>
        <v>27</v>
      </c>
      <c r="F17" s="45" t="str">
        <f>'Tabla general'!F79</f>
        <v>SH</v>
      </c>
      <c r="G17" s="45" t="str">
        <f>'Tabla general'!G79</f>
        <v>2</v>
      </c>
      <c r="H17" s="59">
        <f>'Tabla general'!H79</f>
        <v>46048</v>
      </c>
      <c r="I17" s="45">
        <f>'Tabla general'!I79</f>
        <v>2.88</v>
      </c>
      <c r="J17" s="45">
        <f>'Tabla general'!J79</f>
        <v>16.5</v>
      </c>
      <c r="K17" s="45">
        <f>'Tabla general'!K79*0.49</f>
        <v>11.809000000000001</v>
      </c>
      <c r="L17" s="45">
        <f>'Tabla general'!L79*1.53</f>
        <v>18.067770000000003</v>
      </c>
      <c r="M17" s="60">
        <f>'Tabla general'!N79/200</f>
        <v>1.50065</v>
      </c>
    </row>
    <row r="18" spans="1:13">
      <c r="A18" s="84" t="str">
        <f>'Tabla general'!A80</f>
        <v>SB26ISAC27-SH-3</v>
      </c>
      <c r="B18" s="45" t="str">
        <f>'Tabla general'!B80</f>
        <v>Sauvignon Blanc</v>
      </c>
      <c r="C18" s="45" t="str">
        <f>'Tabla general'!C80</f>
        <v>Maipo</v>
      </c>
      <c r="D18" s="45" t="str">
        <f>'Tabla general'!D80</f>
        <v>SANTA ISABEL</v>
      </c>
      <c r="E18" s="45">
        <f>'Tabla general'!E80</f>
        <v>27</v>
      </c>
      <c r="F18" s="45" t="str">
        <f>'Tabla general'!F80</f>
        <v>SH</v>
      </c>
      <c r="G18" s="45" t="str">
        <f>'Tabla general'!G80</f>
        <v>3</v>
      </c>
      <c r="H18" s="59">
        <f>'Tabla general'!H80</f>
        <v>46055</v>
      </c>
      <c r="I18" s="45">
        <f>'Tabla general'!I80</f>
        <v>3.01</v>
      </c>
      <c r="J18" s="45">
        <f>'Tabla general'!J80</f>
        <v>18.399999999999999</v>
      </c>
      <c r="K18" s="45">
        <f>'Tabla general'!K80*0.49</f>
        <v>9.8686000000000007</v>
      </c>
      <c r="L18" s="45">
        <f>'Tabla general'!L80*1.53</f>
        <v>15.098958000000001</v>
      </c>
      <c r="M18" s="60">
        <f>'Tabla general'!N80/200</f>
        <v>1.5510499999999998</v>
      </c>
    </row>
    <row r="19" spans="1:13">
      <c r="A19" s="84" t="str">
        <f>'Tabla general'!A81</f>
        <v>SB26ISAC27-SH-4</v>
      </c>
      <c r="B19" s="45" t="str">
        <f>'Tabla general'!B81</f>
        <v>Sauvignon Blanc</v>
      </c>
      <c r="C19" s="45" t="str">
        <f>'Tabla general'!C81</f>
        <v>Maipo</v>
      </c>
      <c r="D19" s="45" t="str">
        <f>'Tabla general'!D81</f>
        <v>SANTA ISABEL</v>
      </c>
      <c r="E19" s="45">
        <f>'Tabla general'!E81</f>
        <v>27</v>
      </c>
      <c r="F19" s="45" t="str">
        <f>'Tabla general'!F81</f>
        <v>SH</v>
      </c>
      <c r="G19" s="45" t="str">
        <f>'Tabla general'!G81</f>
        <v>4</v>
      </c>
      <c r="H19" s="59">
        <f>'Tabla general'!H81</f>
        <v>46062</v>
      </c>
      <c r="I19" s="45">
        <f>'Tabla general'!I81</f>
        <v>3.12</v>
      </c>
      <c r="J19" s="45">
        <f>'Tabla general'!J81</f>
        <v>19.899999999999999</v>
      </c>
      <c r="K19" s="45">
        <f>'Tabla general'!K81*0.49</f>
        <v>7.2715999999999994</v>
      </c>
      <c r="L19" s="45">
        <f>'Tabla general'!L81*1.53</f>
        <v>11.125547999999998</v>
      </c>
      <c r="M19" s="60">
        <f>'Tabla general'!N81/200</f>
        <v>1.7184999999999999</v>
      </c>
    </row>
    <row r="20" spans="1:13">
      <c r="A20" s="84" t="str">
        <f>'Tabla general'!A82</f>
        <v>SB26ISAC27-SH-5</v>
      </c>
      <c r="B20" s="45" t="str">
        <f>'Tabla general'!B82</f>
        <v>Sauvignon Blanc</v>
      </c>
      <c r="C20" s="45" t="str">
        <f>'Tabla general'!C82</f>
        <v>Maipo</v>
      </c>
      <c r="D20" s="45" t="str">
        <f>'Tabla general'!D82</f>
        <v>SANTA ISABEL</v>
      </c>
      <c r="E20" s="45">
        <f>'Tabla general'!E82</f>
        <v>27</v>
      </c>
      <c r="F20" s="45" t="str">
        <f>'Tabla general'!F82</f>
        <v>SH</v>
      </c>
      <c r="G20" s="45" t="str">
        <f>'Tabla general'!G82</f>
        <v>5</v>
      </c>
      <c r="H20" s="59">
        <f>'Tabla general'!H82</f>
        <v>46069</v>
      </c>
      <c r="I20" s="45">
        <f>'Tabla general'!I82</f>
        <v>3.2</v>
      </c>
      <c r="J20" s="45">
        <f>'Tabla general'!J82</f>
        <v>23.7</v>
      </c>
      <c r="K20" s="45">
        <f>'Tabla general'!K82*0.49</f>
        <v>6.125</v>
      </c>
      <c r="L20" s="45">
        <f>'Tabla general'!L82*1.53</f>
        <v>9.3712499999999999</v>
      </c>
      <c r="M20" s="60">
        <f>'Tabla general'!N82/200</f>
        <v>1.768</v>
      </c>
    </row>
    <row r="21" spans="1:13">
      <c r="A21" s="84" t="str">
        <f>'Tabla general'!A83</f>
        <v>SB26ISAC27-SH-6</v>
      </c>
      <c r="B21" s="45" t="str">
        <f>'Tabla general'!B83</f>
        <v>Sauvignon Blanc</v>
      </c>
      <c r="C21" s="45" t="str">
        <f>'Tabla general'!C83</f>
        <v>Maipo</v>
      </c>
      <c r="D21" s="45" t="str">
        <f>'Tabla general'!D83</f>
        <v>SANTA ISABEL</v>
      </c>
      <c r="E21" s="45">
        <f>'Tabla general'!E83</f>
        <v>27</v>
      </c>
      <c r="F21" s="45" t="str">
        <f>'Tabla general'!F83</f>
        <v>SH</v>
      </c>
      <c r="G21" s="45" t="str">
        <f>'Tabla general'!G83</f>
        <v>6</v>
      </c>
      <c r="H21" s="59">
        <f>'Tabla general'!H83</f>
        <v>46076</v>
      </c>
      <c r="I21" s="45">
        <f>'Tabla general'!I83</f>
        <v>3.32</v>
      </c>
      <c r="J21" s="45">
        <f>'Tabla general'!J83</f>
        <v>25.1</v>
      </c>
      <c r="K21" s="45">
        <f>'Tabla general'!K83*0.49</f>
        <v>5.2724000000000002</v>
      </c>
      <c r="L21" s="45">
        <f>'Tabla general'!L83*1.53</f>
        <v>8.0667720000000003</v>
      </c>
      <c r="M21" s="60">
        <f>'Tabla general'!N83/200</f>
        <v>1.7575000000000001</v>
      </c>
    </row>
    <row r="22" spans="1:13">
      <c r="A22" s="84" t="str">
        <f>'Tabla general'!A84</f>
        <v>SB26ISAC27-SH-7</v>
      </c>
      <c r="B22" s="45" t="str">
        <f>'Tabla general'!B84</f>
        <v>Sauvignon Blanc</v>
      </c>
      <c r="C22" s="45" t="str">
        <f>'Tabla general'!C84</f>
        <v>Maipo</v>
      </c>
      <c r="D22" s="45" t="str">
        <f>'Tabla general'!D84</f>
        <v>SANTA ISABEL</v>
      </c>
      <c r="E22" s="45">
        <f>'Tabla general'!E84</f>
        <v>27</v>
      </c>
      <c r="F22" s="45" t="str">
        <f>'Tabla general'!F84</f>
        <v>SH</v>
      </c>
      <c r="G22" s="45" t="str">
        <f>'Tabla general'!G84</f>
        <v>7</v>
      </c>
      <c r="H22" s="59">
        <f>'Tabla general'!H137</f>
        <v>46083</v>
      </c>
      <c r="I22" s="45">
        <f>'Tabla general'!I137</f>
        <v>3.23</v>
      </c>
      <c r="J22" s="45">
        <f>'Tabla general'!J84</f>
        <v>26.3</v>
      </c>
      <c r="K22" s="45">
        <f>'Tabla general'!K84*0.49</f>
        <v>4.9637000000000002</v>
      </c>
      <c r="L22" s="45">
        <f>'Tabla general'!L84*1.53</f>
        <v>7.5944610000000008</v>
      </c>
      <c r="M22" s="60">
        <f>'Tabla general'!N84/200</f>
        <v>1.768</v>
      </c>
    </row>
    <row r="23" spans="1:13">
      <c r="A23" s="84" t="str">
        <f>'Tabla general'!A85</f>
        <v>SB26ISAC27-SH-8</v>
      </c>
      <c r="B23" s="45" t="str">
        <f>'Tabla general'!B85</f>
        <v>Sauvignon Blanc</v>
      </c>
      <c r="C23" s="45" t="str">
        <f>'Tabla general'!C85</f>
        <v>Maipo</v>
      </c>
      <c r="D23" s="45" t="str">
        <f>'Tabla general'!D85</f>
        <v>SANTA ISABEL</v>
      </c>
      <c r="E23" s="45">
        <f>'Tabla general'!E85</f>
        <v>27</v>
      </c>
      <c r="F23" s="45" t="str">
        <f>'Tabla general'!F85</f>
        <v>SH</v>
      </c>
      <c r="G23" s="45" t="str">
        <f>'Tabla general'!G85</f>
        <v>8</v>
      </c>
      <c r="H23" s="59">
        <f>'Tabla general'!H85</f>
        <v>46090</v>
      </c>
      <c r="I23" s="45">
        <f>'Tabla general'!I85</f>
        <v>3.38</v>
      </c>
      <c r="J23" s="45">
        <f>'Tabla general'!J85</f>
        <v>27.9</v>
      </c>
      <c r="K23" s="45">
        <f>'Tabla general'!K85*0.49</f>
        <v>4.8167</v>
      </c>
      <c r="L23" s="45">
        <f>'Tabla general'!L85*1.53</f>
        <v>7.3695510000000004</v>
      </c>
      <c r="M23" s="60">
        <f>'Tabla general'!N85/200</f>
        <v>1.6569999999999998</v>
      </c>
    </row>
    <row r="24" spans="1:13">
      <c r="A24" s="84" t="str">
        <f>'Tabla general'!A86</f>
        <v>SB26ISAC27-SH-9</v>
      </c>
      <c r="B24" s="45" t="str">
        <f>'Tabla general'!B86</f>
        <v>Sauvignon Blanc</v>
      </c>
      <c r="C24" s="45" t="str">
        <f>'Tabla general'!C86</f>
        <v>Maipo</v>
      </c>
      <c r="D24" s="45" t="str">
        <f>'Tabla general'!D86</f>
        <v>SANTA ISABEL</v>
      </c>
      <c r="E24" s="45">
        <f>'Tabla general'!E86</f>
        <v>27</v>
      </c>
      <c r="F24" s="45" t="str">
        <f>'Tabla general'!F86</f>
        <v>SH</v>
      </c>
      <c r="G24" s="45" t="str">
        <f>'Tabla general'!G86</f>
        <v>9</v>
      </c>
      <c r="H24" s="59">
        <f>'Tabla general'!H86</f>
        <v>46097</v>
      </c>
      <c r="I24" s="45">
        <f>'Tabla general'!I86</f>
        <v>3.46</v>
      </c>
      <c r="J24" s="45">
        <f>'Tabla general'!J86</f>
        <v>28.7</v>
      </c>
      <c r="K24" s="45">
        <f>'Tabla general'!K86*0.49</f>
        <v>4.6501000000000001</v>
      </c>
      <c r="L24" s="45">
        <f>'Tabla general'!L86*1.53</f>
        <v>7.1146530000000006</v>
      </c>
      <c r="M24" s="60">
        <f>'Tabla general'!N86/200</f>
        <v>1.7175</v>
      </c>
    </row>
    <row r="25" spans="1:13">
      <c r="A25" s="84" t="str">
        <f>'Tabla general'!A87</f>
        <v>SB26ISAC27-SH-10</v>
      </c>
      <c r="B25" s="45" t="str">
        <f>'Tabla general'!B87</f>
        <v>Sauvignon Blanc</v>
      </c>
      <c r="C25" s="45" t="str">
        <f>'Tabla general'!C87</f>
        <v>Maipo</v>
      </c>
      <c r="D25" s="45" t="str">
        <f>'Tabla general'!D87</f>
        <v>SANTA ISABEL</v>
      </c>
      <c r="E25" s="45">
        <f>'Tabla general'!E87</f>
        <v>27</v>
      </c>
      <c r="F25" s="45" t="str">
        <f>'Tabla general'!F87</f>
        <v>SH</v>
      </c>
      <c r="G25" s="45" t="str">
        <f>'Tabla general'!G87</f>
        <v>10</v>
      </c>
      <c r="H25" s="59">
        <f>'Tabla general'!H87</f>
        <v>46104</v>
      </c>
      <c r="I25" s="45">
        <f>'Tabla general'!I87</f>
        <v>3.51</v>
      </c>
      <c r="J25" s="45">
        <f>'Tabla general'!J87</f>
        <v>28.7</v>
      </c>
      <c r="K25" s="45">
        <f>'Tabla general'!K87*0.49</f>
        <v>4.4295999999999998</v>
      </c>
      <c r="L25" s="45">
        <f>'Tabla general'!L87*1.53</f>
        <v>6.7772879999999995</v>
      </c>
      <c r="M25" s="60">
        <f>'Tabla general'!N87/200</f>
        <v>1.6475</v>
      </c>
    </row>
    <row r="26" spans="1:13">
      <c r="A26" s="84" t="str">
        <f>'Tabla general'!A88</f>
        <v>SB26ISAC27-SH-11</v>
      </c>
      <c r="B26" s="45" t="str">
        <f>'Tabla general'!B88</f>
        <v>Sauvignon Blanc</v>
      </c>
      <c r="C26" s="45" t="str">
        <f>'Tabla general'!C88</f>
        <v>Maipo</v>
      </c>
      <c r="D26" s="45" t="str">
        <f>'Tabla general'!D88</f>
        <v>SANTA ISABEL</v>
      </c>
      <c r="E26" s="45">
        <f>'Tabla general'!E88</f>
        <v>27</v>
      </c>
      <c r="F26" s="45" t="str">
        <f>'Tabla general'!F88</f>
        <v>SH</v>
      </c>
      <c r="G26" s="45" t="str">
        <f>'Tabla general'!G88</f>
        <v>11</v>
      </c>
      <c r="H26" s="59">
        <f>'Tabla general'!H88</f>
        <v>46111</v>
      </c>
      <c r="I26" s="45">
        <f>'Tabla general'!I88</f>
        <v>3.6</v>
      </c>
      <c r="J26" s="45">
        <f>'Tabla general'!J88</f>
        <v>29.6</v>
      </c>
      <c r="K26" s="45">
        <f>'Tabla general'!K88*0.49</f>
        <v>3.9494000000000002</v>
      </c>
      <c r="L26" s="45">
        <f>'Tabla general'!L88*1.53</f>
        <v>6.0425820000000003</v>
      </c>
      <c r="M26" s="60">
        <f>'Tabla general'!N88/200</f>
        <v>1.6219999999999999</v>
      </c>
    </row>
    <row r="27" spans="1:13">
      <c r="A27" s="84" t="str">
        <f>'Tabla general'!A89</f>
        <v>SB26ISAC27-SH-12</v>
      </c>
      <c r="B27" s="45" t="str">
        <f>'Tabla general'!B89</f>
        <v>Sauvignon Blanc</v>
      </c>
      <c r="C27" s="45" t="str">
        <f>'Tabla general'!C89</f>
        <v>Maipo</v>
      </c>
      <c r="D27" s="45" t="str">
        <f>'Tabla general'!D89</f>
        <v>SANTA ISABEL</v>
      </c>
      <c r="E27" s="45">
        <f>'Tabla general'!E89</f>
        <v>27</v>
      </c>
      <c r="F27" s="45" t="str">
        <f>'Tabla general'!F89</f>
        <v>SH</v>
      </c>
      <c r="G27" s="45" t="str">
        <f>'Tabla general'!G89</f>
        <v>12</v>
      </c>
      <c r="H27" s="59">
        <f>'Tabla general'!H89</f>
        <v>46118</v>
      </c>
      <c r="I27" s="45">
        <f>'Tabla general'!I89</f>
        <v>3.6</v>
      </c>
      <c r="J27" s="45">
        <f>'Tabla general'!J89</f>
        <v>30.5</v>
      </c>
      <c r="K27" s="45">
        <f>'Tabla general'!K89*0.49</f>
        <v>3.7534000000000001</v>
      </c>
      <c r="L27" s="45">
        <f>'Tabla general'!L89*1.53</f>
        <v>5.7427020000000004</v>
      </c>
      <c r="M27" s="60">
        <f>'Tabla general'!N89/200</f>
        <v>1.5855000000000001</v>
      </c>
    </row>
    <row r="28" spans="1:13">
      <c r="A28" s="85" t="str">
        <f>'Tabla general'!A90</f>
        <v>SB26ISAC27-SH-13</v>
      </c>
      <c r="B28" s="65" t="str">
        <f>'Tabla general'!B90</f>
        <v>Sauvignon Blanc</v>
      </c>
      <c r="C28" s="65" t="str">
        <f>'Tabla general'!C90</f>
        <v>Maipo</v>
      </c>
      <c r="D28" s="65" t="str">
        <f>'Tabla general'!D90</f>
        <v>SANTA ISABEL</v>
      </c>
      <c r="E28" s="65">
        <f>'Tabla general'!E90</f>
        <v>27</v>
      </c>
      <c r="F28" s="65" t="str">
        <f>'Tabla general'!F90</f>
        <v>SH</v>
      </c>
      <c r="G28" s="65">
        <f>'Tabla general'!G90</f>
        <v>13</v>
      </c>
      <c r="H28" s="66">
        <f>'Tabla general'!H90</f>
        <v>46125</v>
      </c>
      <c r="I28" s="65">
        <f>'Tabla general'!I90</f>
        <v>3.76</v>
      </c>
      <c r="J28" s="65">
        <f>'Tabla general'!J90</f>
        <v>31.6</v>
      </c>
      <c r="K28" s="65">
        <f>'Tabla general'!K90*0.49</f>
        <v>3.6014999999999997</v>
      </c>
      <c r="L28" s="65">
        <f>'Tabla general'!L90*1.53</f>
        <v>5.5102949999999993</v>
      </c>
      <c r="M28" s="67">
        <f>'Tabla general'!N90/200</f>
        <v>1.492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A56D-8CE6-4FEB-A53A-4C344B6B69A1}">
  <dimension ref="A2:M26"/>
  <sheetViews>
    <sheetView topLeftCell="A7" workbookViewId="0">
      <selection activeCell="E21" sqref="E21"/>
    </sheetView>
  </sheetViews>
  <sheetFormatPr defaultColWidth="8.85546875" defaultRowHeight="14.45"/>
  <cols>
    <col min="1" max="1" width="20.7109375" bestFit="1" customWidth="1"/>
    <col min="2" max="2" width="11.5703125" bestFit="1" customWidth="1"/>
    <col min="7" max="7" width="10.710937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46">
        <v>2025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51" t="s">
        <v>0</v>
      </c>
      <c r="B3" s="52" t="s">
        <v>1</v>
      </c>
      <c r="C3" s="52" t="s">
        <v>2</v>
      </c>
      <c r="D3" s="53" t="s">
        <v>3</v>
      </c>
      <c r="E3" s="53" t="s">
        <v>4</v>
      </c>
      <c r="F3" s="53" t="s">
        <v>5</v>
      </c>
      <c r="G3" s="53" t="s">
        <v>236</v>
      </c>
      <c r="H3" s="55" t="s">
        <v>7</v>
      </c>
      <c r="I3" s="53" t="s">
        <v>8</v>
      </c>
      <c r="J3" s="53" t="s">
        <v>9</v>
      </c>
      <c r="K3" s="53" t="s">
        <v>11</v>
      </c>
      <c r="L3" s="53" t="s">
        <v>12</v>
      </c>
      <c r="M3" s="56" t="s">
        <v>15</v>
      </c>
    </row>
    <row r="4" spans="1:13">
      <c r="A4" s="9" t="s">
        <v>301</v>
      </c>
      <c r="B4" s="5" t="s">
        <v>17</v>
      </c>
      <c r="C4" s="5" t="s">
        <v>155</v>
      </c>
      <c r="D4" s="3" t="s">
        <v>156</v>
      </c>
      <c r="E4" s="3">
        <v>79</v>
      </c>
      <c r="F4" s="3">
        <v>156</v>
      </c>
      <c r="G4" s="3" t="str">
        <f t="shared" ref="G4:G12" si="0">_xlfn.TEXTAFTER(A4, "-", 2)</f>
        <v>1</v>
      </c>
      <c r="H4" s="102">
        <v>45681</v>
      </c>
      <c r="I4" s="3">
        <v>2.78</v>
      </c>
      <c r="J4" s="3">
        <v>11.7</v>
      </c>
      <c r="K4" s="3">
        <v>14.484400000000001</v>
      </c>
      <c r="L4" s="3">
        <v>22.161100000000001</v>
      </c>
      <c r="M4" s="49">
        <v>1.18</v>
      </c>
    </row>
    <row r="5" spans="1:13">
      <c r="A5" s="104" t="s">
        <v>302</v>
      </c>
      <c r="B5" s="5" t="s">
        <v>17</v>
      </c>
      <c r="C5" s="5" t="s">
        <v>155</v>
      </c>
      <c r="D5" s="3" t="s">
        <v>156</v>
      </c>
      <c r="E5" s="3">
        <v>79</v>
      </c>
      <c r="F5" s="3">
        <v>156</v>
      </c>
      <c r="G5" s="3" t="str">
        <f t="shared" si="0"/>
        <v>2</v>
      </c>
      <c r="H5" s="102">
        <v>45688</v>
      </c>
      <c r="I5" s="3">
        <v>2.85</v>
      </c>
      <c r="J5" s="3">
        <v>13.1</v>
      </c>
      <c r="K5" s="3">
        <v>12.5342</v>
      </c>
      <c r="L5" s="3">
        <v>19.177299999999999</v>
      </c>
      <c r="M5" s="49">
        <v>1.08</v>
      </c>
    </row>
    <row r="6" spans="1:13">
      <c r="A6" s="104" t="s">
        <v>303</v>
      </c>
      <c r="B6" s="5" t="s">
        <v>17</v>
      </c>
      <c r="C6" s="5" t="s">
        <v>155</v>
      </c>
      <c r="D6" s="3" t="s">
        <v>156</v>
      </c>
      <c r="E6" s="3">
        <v>79</v>
      </c>
      <c r="F6" s="3">
        <v>156</v>
      </c>
      <c r="G6" s="3" t="str">
        <f t="shared" si="0"/>
        <v>3</v>
      </c>
      <c r="H6" s="102">
        <v>45692</v>
      </c>
      <c r="I6" s="3">
        <v>2.9</v>
      </c>
      <c r="J6" s="3">
        <v>16.100000000000001</v>
      </c>
      <c r="K6" s="3">
        <v>9.4177999999999997</v>
      </c>
      <c r="L6" s="3">
        <v>14.4092</v>
      </c>
      <c r="M6" s="49">
        <v>1.53</v>
      </c>
    </row>
    <row r="7" spans="1:13">
      <c r="A7" s="104" t="s">
        <v>304</v>
      </c>
      <c r="B7" s="5" t="s">
        <v>17</v>
      </c>
      <c r="C7" s="5" t="s">
        <v>155</v>
      </c>
      <c r="D7" s="3" t="s">
        <v>156</v>
      </c>
      <c r="E7" s="3">
        <v>79</v>
      </c>
      <c r="F7" s="3">
        <v>156</v>
      </c>
      <c r="G7" s="3" t="str">
        <f t="shared" si="0"/>
        <v>4</v>
      </c>
      <c r="H7" s="102">
        <v>45698</v>
      </c>
      <c r="I7" s="3">
        <v>2.99</v>
      </c>
      <c r="J7" s="3">
        <v>17.5</v>
      </c>
      <c r="K7" s="3">
        <v>7.7713999999999999</v>
      </c>
      <c r="L7" s="3">
        <v>11.8902</v>
      </c>
      <c r="M7" s="49">
        <v>1.5</v>
      </c>
    </row>
    <row r="8" spans="1:13">
      <c r="A8" s="104" t="s">
        <v>305</v>
      </c>
      <c r="B8" s="5" t="s">
        <v>17</v>
      </c>
      <c r="C8" s="5" t="s">
        <v>155</v>
      </c>
      <c r="D8" s="3" t="s">
        <v>156</v>
      </c>
      <c r="E8" s="3">
        <v>79</v>
      </c>
      <c r="F8" s="3">
        <v>156</v>
      </c>
      <c r="G8" s="3" t="str">
        <f t="shared" si="0"/>
        <v>5</v>
      </c>
      <c r="H8" s="102">
        <v>45705</v>
      </c>
      <c r="I8" s="3">
        <v>3.06</v>
      </c>
      <c r="J8" s="3">
        <v>19.5</v>
      </c>
      <c r="K8" s="3">
        <v>7.1736000000000004</v>
      </c>
      <c r="L8" s="3">
        <v>10.9756</v>
      </c>
      <c r="M8" s="49">
        <v>1.76</v>
      </c>
    </row>
    <row r="9" spans="1:13">
      <c r="A9" s="104" t="s">
        <v>306</v>
      </c>
      <c r="B9" s="5" t="s">
        <v>17</v>
      </c>
      <c r="C9" s="5" t="s">
        <v>155</v>
      </c>
      <c r="D9" s="3" t="s">
        <v>156</v>
      </c>
      <c r="E9" s="3">
        <v>79</v>
      </c>
      <c r="F9" s="3">
        <v>156</v>
      </c>
      <c r="G9" s="3" t="str">
        <f t="shared" si="0"/>
        <v>6</v>
      </c>
      <c r="H9" s="102">
        <v>45712</v>
      </c>
      <c r="I9" s="3">
        <v>3.15</v>
      </c>
      <c r="J9" s="3">
        <v>20.8</v>
      </c>
      <c r="K9" s="3">
        <v>6.6639999999999997</v>
      </c>
      <c r="L9" s="3">
        <v>10.1959</v>
      </c>
      <c r="M9" s="49">
        <v>1.87</v>
      </c>
    </row>
    <row r="10" spans="1:13">
      <c r="A10" s="104" t="s">
        <v>307</v>
      </c>
      <c r="B10" s="5" t="s">
        <v>17</v>
      </c>
      <c r="C10" s="5" t="s">
        <v>155</v>
      </c>
      <c r="D10" s="3" t="s">
        <v>156</v>
      </c>
      <c r="E10" s="3">
        <v>79</v>
      </c>
      <c r="F10" s="3">
        <v>156</v>
      </c>
      <c r="G10" s="3" t="str">
        <f t="shared" si="0"/>
        <v>7</v>
      </c>
      <c r="H10" s="102">
        <v>45719</v>
      </c>
      <c r="I10" s="3">
        <v>3.26</v>
      </c>
      <c r="J10" s="3">
        <v>22.2</v>
      </c>
      <c r="K10" s="3">
        <v>5.4977999999999998</v>
      </c>
      <c r="L10" s="3">
        <v>8.4116</v>
      </c>
      <c r="M10" s="49">
        <v>1.85</v>
      </c>
    </row>
    <row r="11" spans="1:13">
      <c r="A11" s="104" t="s">
        <v>308</v>
      </c>
      <c r="B11" s="5" t="s">
        <v>17</v>
      </c>
      <c r="C11" s="5" t="s">
        <v>155</v>
      </c>
      <c r="D11" s="3" t="s">
        <v>156</v>
      </c>
      <c r="E11" s="3">
        <v>79</v>
      </c>
      <c r="F11" s="3">
        <v>156</v>
      </c>
      <c r="G11" s="3" t="str">
        <f t="shared" si="0"/>
        <v>8</v>
      </c>
      <c r="H11" s="102">
        <v>45726</v>
      </c>
      <c r="I11" s="3">
        <v>3.33</v>
      </c>
      <c r="J11" s="3">
        <v>23.8</v>
      </c>
      <c r="K11" s="3">
        <v>5.3704000000000001</v>
      </c>
      <c r="L11" s="3">
        <v>8.2166999999999994</v>
      </c>
      <c r="M11" s="49">
        <v>2.0499999999999998</v>
      </c>
    </row>
    <row r="12" spans="1:13">
      <c r="A12" s="105" t="s">
        <v>309</v>
      </c>
      <c r="B12" s="106" t="s">
        <v>17</v>
      </c>
      <c r="C12" s="106" t="s">
        <v>155</v>
      </c>
      <c r="D12" s="12" t="s">
        <v>156</v>
      </c>
      <c r="E12" s="12">
        <v>79</v>
      </c>
      <c r="F12" s="12">
        <v>156</v>
      </c>
      <c r="G12" s="12" t="str">
        <f t="shared" si="0"/>
        <v>9</v>
      </c>
      <c r="H12" s="107">
        <v>45734</v>
      </c>
      <c r="I12" s="12">
        <v>3.44</v>
      </c>
      <c r="J12" s="12">
        <v>24.6</v>
      </c>
      <c r="K12" s="12">
        <v>5.2478999999999996</v>
      </c>
      <c r="L12" s="12">
        <v>8.0292999999999992</v>
      </c>
      <c r="M12" s="50">
        <v>2.08</v>
      </c>
    </row>
    <row r="14" spans="1:13">
      <c r="A14" s="46">
        <v>2026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79" t="s">
        <v>0</v>
      </c>
      <c r="B15" s="47" t="s">
        <v>1</v>
      </c>
      <c r="C15" s="47" t="s">
        <v>2</v>
      </c>
      <c r="D15" s="80" t="s">
        <v>3</v>
      </c>
      <c r="E15" s="80" t="s">
        <v>4</v>
      </c>
      <c r="F15" s="80" t="s">
        <v>5</v>
      </c>
      <c r="G15" s="80" t="s">
        <v>236</v>
      </c>
      <c r="H15" s="81" t="s">
        <v>7</v>
      </c>
      <c r="I15" s="80" t="s">
        <v>8</v>
      </c>
      <c r="J15" s="80" t="s">
        <v>9</v>
      </c>
      <c r="K15" s="80" t="s">
        <v>11</v>
      </c>
      <c r="L15" s="80" t="s">
        <v>12</v>
      </c>
      <c r="M15" s="82" t="s">
        <v>15</v>
      </c>
    </row>
    <row r="16" spans="1:13">
      <c r="A16" s="86" t="str">
        <f>'Tabla general'!A92</f>
        <v>CH26LOUC79-H156-1</v>
      </c>
      <c r="B16" s="8" t="str">
        <f>'Tabla general'!B92</f>
        <v>Chardonnay</v>
      </c>
      <c r="C16" s="8" t="str">
        <f>'Tabla general'!C92</f>
        <v>Maule</v>
      </c>
      <c r="D16" s="8" t="str">
        <f>'Tabla general'!D92</f>
        <v>LOURDES</v>
      </c>
      <c r="E16" s="8">
        <f>'Tabla general'!E92</f>
        <v>79</v>
      </c>
      <c r="F16" s="8">
        <f>'Tabla general'!F92</f>
        <v>156</v>
      </c>
      <c r="G16" s="8" t="str">
        <f>'Tabla general'!G92</f>
        <v>1</v>
      </c>
      <c r="H16" s="103">
        <f>'Tabla general'!H92</f>
        <v>46042</v>
      </c>
      <c r="I16" s="8">
        <f>'Tabla general'!I92</f>
        <v>2.78</v>
      </c>
      <c r="J16" s="8">
        <f>'Tabla general'!J92</f>
        <v>12.7</v>
      </c>
      <c r="K16" s="8">
        <f>'Tabla general'!K92*0.49</f>
        <v>14.151199999999999</v>
      </c>
      <c r="L16" s="8">
        <f>'Tabla general'!L92*1.53</f>
        <v>21.651336000000001</v>
      </c>
      <c r="M16" s="87">
        <f>'Tabla general'!N92/200</f>
        <v>0.94099999999999995</v>
      </c>
    </row>
    <row r="17" spans="1:13">
      <c r="A17" s="88" t="str">
        <f>'Tabla general'!A93</f>
        <v>CH26LOUC79-H156-2</v>
      </c>
      <c r="B17" s="3" t="str">
        <f>'Tabla general'!B93</f>
        <v>Chardonnay</v>
      </c>
      <c r="C17" s="3" t="str">
        <f>'Tabla general'!C93</f>
        <v>Maule</v>
      </c>
      <c r="D17" s="3" t="str">
        <f>'Tabla general'!D93</f>
        <v>LOURDES</v>
      </c>
      <c r="E17" s="3">
        <f>'Tabla general'!E93</f>
        <v>79</v>
      </c>
      <c r="F17" s="3">
        <f>'Tabla general'!F93</f>
        <v>156</v>
      </c>
      <c r="G17" s="3" t="str">
        <f>'Tabla general'!G93</f>
        <v>2</v>
      </c>
      <c r="H17" s="102">
        <f>'Tabla general'!H93</f>
        <v>46049</v>
      </c>
      <c r="I17" s="3">
        <f>'Tabla general'!I93</f>
        <v>2.9</v>
      </c>
      <c r="J17" s="3">
        <f>'Tabla general'!J93</f>
        <v>14.7</v>
      </c>
      <c r="K17" s="3">
        <f>'Tabla general'!K93*0.49</f>
        <v>11.720800000000001</v>
      </c>
      <c r="L17" s="3">
        <f>'Tabla general'!L93*1.53</f>
        <v>17.932824</v>
      </c>
      <c r="M17" s="49">
        <f>'Tabla general'!N93/200</f>
        <v>1.23085</v>
      </c>
    </row>
    <row r="18" spans="1:13">
      <c r="A18" s="88" t="str">
        <f>'Tabla general'!A94</f>
        <v>CH26LOUC79-H156-3</v>
      </c>
      <c r="B18" s="3" t="str">
        <f>'Tabla general'!B94</f>
        <v>Chardonnay</v>
      </c>
      <c r="C18" s="3" t="str">
        <f>'Tabla general'!C94</f>
        <v>Maule</v>
      </c>
      <c r="D18" s="3" t="str">
        <f>'Tabla general'!D94</f>
        <v>LOURDES</v>
      </c>
      <c r="E18" s="3">
        <f>'Tabla general'!E94</f>
        <v>79</v>
      </c>
      <c r="F18" s="3">
        <f>'Tabla general'!F94</f>
        <v>156</v>
      </c>
      <c r="G18" s="3" t="str">
        <f>'Tabla general'!G94</f>
        <v>3</v>
      </c>
      <c r="H18" s="102">
        <f>'Tabla general'!H94</f>
        <v>46056</v>
      </c>
      <c r="I18" s="3">
        <f>'Tabla general'!I94</f>
        <v>3.12</v>
      </c>
      <c r="J18" s="3">
        <f>'Tabla general'!J94</f>
        <v>17.899999999999999</v>
      </c>
      <c r="K18" s="3">
        <f>'Tabla general'!K94*0.49</f>
        <v>7.5263999999999998</v>
      </c>
      <c r="L18" s="3">
        <f>'Tabla general'!L94*1.53</f>
        <v>11.515392</v>
      </c>
      <c r="M18" s="49">
        <f>'Tabla general'!N94/200</f>
        <v>1.2810499999999998</v>
      </c>
    </row>
    <row r="19" spans="1:13">
      <c r="A19" s="88" t="str">
        <f>'Tabla general'!A95</f>
        <v>CH26LOUC79-H156-4</v>
      </c>
      <c r="B19" s="3" t="str">
        <f>'Tabla general'!B95</f>
        <v>Chardonnay</v>
      </c>
      <c r="C19" s="3" t="str">
        <f>'Tabla general'!C95</f>
        <v>Maule</v>
      </c>
      <c r="D19" s="3" t="str">
        <f>'Tabla general'!D95</f>
        <v>LOURDES</v>
      </c>
      <c r="E19" s="3">
        <f>'Tabla general'!E95</f>
        <v>79</v>
      </c>
      <c r="F19" s="3">
        <f>'Tabla general'!F95</f>
        <v>156</v>
      </c>
      <c r="G19" s="3" t="str">
        <f>'Tabla general'!G95</f>
        <v>4</v>
      </c>
      <c r="H19" s="102">
        <f>'Tabla general'!H95</f>
        <v>46062</v>
      </c>
      <c r="I19" s="3">
        <f>'Tabla general'!I95</f>
        <v>3.1</v>
      </c>
      <c r="J19" s="3">
        <f>'Tabla general'!J95</f>
        <v>18.8</v>
      </c>
      <c r="K19" s="3">
        <f>'Tabla general'!K95*0.49</f>
        <v>7.3402000000000003</v>
      </c>
      <c r="L19" s="3">
        <f>'Tabla general'!L95*1.53</f>
        <v>11.230506</v>
      </c>
      <c r="M19" s="49">
        <f>'Tabla general'!N95/200</f>
        <v>1.339</v>
      </c>
    </row>
    <row r="20" spans="1:13">
      <c r="A20" s="88" t="str">
        <f>'Tabla general'!A96</f>
        <v>CH26LOUC79-H156-5</v>
      </c>
      <c r="B20" s="3" t="str">
        <f>'Tabla general'!B96</f>
        <v>Chardonnay</v>
      </c>
      <c r="C20" s="3" t="str">
        <f>'Tabla general'!C96</f>
        <v>Maule</v>
      </c>
      <c r="D20" s="3" t="str">
        <f>'Tabla general'!D96</f>
        <v>LOURDES</v>
      </c>
      <c r="E20" s="3">
        <f>'Tabla general'!E96</f>
        <v>79</v>
      </c>
      <c r="F20" s="3">
        <f>'Tabla general'!F96</f>
        <v>156</v>
      </c>
      <c r="G20" s="3" t="str">
        <f>'Tabla general'!G96</f>
        <v>5</v>
      </c>
      <c r="H20" s="102">
        <f>'Tabla general'!H96</f>
        <v>46069</v>
      </c>
      <c r="I20" s="3">
        <f>'Tabla general'!I96</f>
        <v>3.1</v>
      </c>
      <c r="J20" s="3">
        <f>'Tabla general'!J96</f>
        <v>20.399999999999999</v>
      </c>
      <c r="K20" s="3">
        <f>'Tabla general'!K96*0.49</f>
        <v>6.6444000000000001</v>
      </c>
      <c r="L20" s="3">
        <f>'Tabla general'!L96*1.53</f>
        <v>10.165932</v>
      </c>
      <c r="M20" s="49">
        <f>'Tabla general'!N96/200</f>
        <v>1.4255000000000002</v>
      </c>
    </row>
    <row r="21" spans="1:13">
      <c r="A21" s="88" t="str">
        <f>'Tabla general'!A97</f>
        <v>CH26LOUC79-H156-6</v>
      </c>
      <c r="B21" s="3" t="str">
        <f>'Tabla general'!B97</f>
        <v>Chardonnay</v>
      </c>
      <c r="C21" s="3" t="str">
        <f>'Tabla general'!C97</f>
        <v>Maule</v>
      </c>
      <c r="D21" s="3" t="str">
        <f>'Tabla general'!D97</f>
        <v>LOURDES</v>
      </c>
      <c r="E21" s="3">
        <f>'Tabla general'!E97</f>
        <v>79</v>
      </c>
      <c r="F21" s="3">
        <f>'Tabla general'!F97</f>
        <v>156</v>
      </c>
      <c r="G21" s="3" t="str">
        <f>'Tabla general'!G97</f>
        <v>6</v>
      </c>
      <c r="H21" s="102">
        <f>'Tabla general'!H97</f>
        <v>46076</v>
      </c>
      <c r="I21" s="3">
        <f>'Tabla general'!I97</f>
        <v>3.26</v>
      </c>
      <c r="J21" s="3">
        <f>'Tabla general'!J97</f>
        <v>22.2</v>
      </c>
      <c r="K21" s="3">
        <f>'Tabla general'!K97*0.49</f>
        <v>5.1449999999999996</v>
      </c>
      <c r="L21" s="3">
        <f>'Tabla general'!L97*1.53</f>
        <v>7.8718499999999993</v>
      </c>
      <c r="M21" s="49">
        <f>'Tabla general'!N97/200</f>
        <v>1.3465</v>
      </c>
    </row>
    <row r="22" spans="1:13">
      <c r="A22" s="88" t="str">
        <f>'Tabla general'!A98</f>
        <v>CH26LOUC79-H156-7</v>
      </c>
      <c r="B22" s="3" t="str">
        <f>'Tabla general'!B98</f>
        <v>Chardonnay</v>
      </c>
      <c r="C22" s="3" t="str">
        <f>'Tabla general'!C98</f>
        <v>Maule</v>
      </c>
      <c r="D22" s="3" t="str">
        <f>'Tabla general'!D98</f>
        <v>LOURDES</v>
      </c>
      <c r="E22" s="3">
        <f>'Tabla general'!E98</f>
        <v>79</v>
      </c>
      <c r="F22" s="3">
        <f>'Tabla general'!F98</f>
        <v>156</v>
      </c>
      <c r="G22" s="3" t="str">
        <f>'Tabla general'!G98</f>
        <v>7</v>
      </c>
      <c r="H22" s="102">
        <f>'Tabla general'!H98</f>
        <v>46084</v>
      </c>
      <c r="I22" s="3">
        <f>'Tabla general'!I98</f>
        <v>3.26</v>
      </c>
      <c r="J22" s="3">
        <f>'Tabla general'!J98</f>
        <v>22.9</v>
      </c>
      <c r="K22" s="3">
        <f>'Tabla general'!K98*0.49</f>
        <v>5.1204999999999998</v>
      </c>
      <c r="L22" s="3">
        <f>'Tabla general'!L98*1.53</f>
        <v>7.834365</v>
      </c>
      <c r="M22" s="49">
        <f>'Tabla general'!N98/200</f>
        <v>1.4280000000000002</v>
      </c>
    </row>
    <row r="23" spans="1:13">
      <c r="A23" s="88" t="str">
        <f>'Tabla general'!A99</f>
        <v>CH26LOUC79-H156-8</v>
      </c>
      <c r="B23" s="3" t="str">
        <f>'Tabla general'!B99</f>
        <v>Chardonnay</v>
      </c>
      <c r="C23" s="3" t="str">
        <f>'Tabla general'!C99</f>
        <v>Maule</v>
      </c>
      <c r="D23" s="3" t="str">
        <f>'Tabla general'!D99</f>
        <v>LOURDES</v>
      </c>
      <c r="E23" s="3">
        <f>'Tabla general'!E99</f>
        <v>79</v>
      </c>
      <c r="F23" s="3">
        <f>'Tabla general'!F99</f>
        <v>156</v>
      </c>
      <c r="G23" s="3" t="str">
        <f>'Tabla general'!G99</f>
        <v>8</v>
      </c>
      <c r="H23" s="102">
        <f>'Tabla general'!H99</f>
        <v>46090</v>
      </c>
      <c r="I23" s="3">
        <f>'Tabla general'!I99</f>
        <v>3.31</v>
      </c>
      <c r="J23" s="3">
        <f>'Tabla general'!J99</f>
        <v>24.9</v>
      </c>
      <c r="K23" s="3">
        <f>'Tabla general'!K99*0.49</f>
        <v>4.6452</v>
      </c>
      <c r="L23" s="3">
        <f>'Tabla general'!L99*1.53</f>
        <v>7.1071559999999998</v>
      </c>
      <c r="M23" s="49">
        <f>'Tabla general'!N99/200</f>
        <v>1.2130000000000001</v>
      </c>
    </row>
    <row r="24" spans="1:13">
      <c r="A24" s="88" t="str">
        <f>'Tabla general'!A100</f>
        <v>CH26LOUC79-H156-9</v>
      </c>
      <c r="B24" s="3" t="str">
        <f>'Tabla general'!B100</f>
        <v>Chardonnay</v>
      </c>
      <c r="C24" s="3" t="str">
        <f>'Tabla general'!C100</f>
        <v>Maule</v>
      </c>
      <c r="D24" s="3" t="str">
        <f>'Tabla general'!D100</f>
        <v>LOURDES</v>
      </c>
      <c r="E24" s="3">
        <f>'Tabla general'!E100</f>
        <v>79</v>
      </c>
      <c r="F24" s="3">
        <f>'Tabla general'!F100</f>
        <v>156</v>
      </c>
      <c r="G24" s="3" t="str">
        <f>'Tabla general'!G100</f>
        <v>9</v>
      </c>
      <c r="H24" s="102">
        <f>'Tabla general'!H100</f>
        <v>46097</v>
      </c>
      <c r="I24" s="3">
        <f>'Tabla general'!I100</f>
        <v>3.36</v>
      </c>
      <c r="J24" s="3">
        <f>'Tabla general'!J100</f>
        <v>24.7</v>
      </c>
      <c r="K24" s="3">
        <f>'Tabla general'!K100*0.49</f>
        <v>4.5815000000000001</v>
      </c>
      <c r="L24" s="3">
        <f>'Tabla general'!L100*1.53</f>
        <v>7.0096950000000007</v>
      </c>
      <c r="M24" s="49">
        <f>'Tabla general'!N100/200</f>
        <v>1.1855</v>
      </c>
    </row>
    <row r="25" spans="1:13">
      <c r="A25" s="88" t="str">
        <f>'Tabla general'!A101</f>
        <v>CH26LOUC79-H156-10</v>
      </c>
      <c r="B25" s="3" t="str">
        <f>'Tabla general'!B101</f>
        <v>Chardonnay</v>
      </c>
      <c r="C25" s="3" t="str">
        <f>'Tabla general'!C101</f>
        <v>Maule</v>
      </c>
      <c r="D25" s="3" t="str">
        <f>'Tabla general'!D101</f>
        <v>LOURDES</v>
      </c>
      <c r="E25" s="3">
        <f>'Tabla general'!E101</f>
        <v>79</v>
      </c>
      <c r="F25" s="3">
        <f>'Tabla general'!F101</f>
        <v>156</v>
      </c>
      <c r="G25" s="3" t="str">
        <f>'Tabla general'!G101</f>
        <v>10</v>
      </c>
      <c r="H25" s="102">
        <f>'Tabla general'!H101</f>
        <v>46104</v>
      </c>
      <c r="I25" s="3">
        <f>'Tabla general'!I101</f>
        <v>3.44</v>
      </c>
      <c r="J25" s="3">
        <f>'Tabla general'!J101</f>
        <v>24.3</v>
      </c>
      <c r="K25" s="3">
        <f>'Tabla general'!K101*0.49</f>
        <v>3.9494000000000002</v>
      </c>
      <c r="L25" s="3">
        <f>'Tabla general'!L101*1.53</f>
        <v>6.0425820000000003</v>
      </c>
      <c r="M25" s="49">
        <f>'Tabla general'!N101/200</f>
        <v>1.1479999999999999</v>
      </c>
    </row>
    <row r="26" spans="1:13">
      <c r="A26" s="89" t="str">
        <f>'Tabla general'!A102</f>
        <v>CH26LOUC79-H156-11</v>
      </c>
      <c r="B26" s="12" t="str">
        <f>'Tabla general'!B102</f>
        <v>Chardonnay</v>
      </c>
      <c r="C26" s="12" t="str">
        <f>'Tabla general'!C102</f>
        <v>Maule</v>
      </c>
      <c r="D26" s="12" t="str">
        <f>'Tabla general'!D102</f>
        <v>LOURDES</v>
      </c>
      <c r="E26" s="12">
        <f>'Tabla general'!E102</f>
        <v>79</v>
      </c>
      <c r="F26" s="12">
        <f>'Tabla general'!F102</f>
        <v>156</v>
      </c>
      <c r="G26" s="12" t="str">
        <f>'Tabla general'!G102</f>
        <v>11</v>
      </c>
      <c r="H26" s="107">
        <f>'Tabla general'!H102</f>
        <v>46111</v>
      </c>
      <c r="I26" s="12">
        <f>'Tabla general'!I102</f>
        <v>3.33</v>
      </c>
      <c r="J26" s="12">
        <f>'Tabla general'!J102</f>
        <v>24.5</v>
      </c>
      <c r="K26" s="12">
        <f>'Tabla general'!K102*0.49</f>
        <v>4.2237999999999998</v>
      </c>
      <c r="L26" s="12">
        <f>'Tabla general'!L102*1.53</f>
        <v>6.4624139999999999</v>
      </c>
      <c r="M26" s="50">
        <f>'Tabla general'!N102/200</f>
        <v>1.2855000000000001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6744-ABBA-4BA7-B3B4-C68794892DF9}">
  <dimension ref="A2:M28"/>
  <sheetViews>
    <sheetView topLeftCell="A7" workbookViewId="0">
      <selection activeCell="B20" sqref="B20"/>
    </sheetView>
  </sheetViews>
  <sheetFormatPr defaultColWidth="8.85546875" defaultRowHeight="14.45"/>
  <cols>
    <col min="1" max="1" width="19.28515625" bestFit="1" customWidth="1"/>
    <col min="2" max="2" width="15.42578125" bestFit="1" customWidth="1"/>
    <col min="4" max="4" width="11.42578125" bestFit="1" customWidth="1"/>
    <col min="8" max="8" width="11.140625" bestFit="1" customWidth="1"/>
  </cols>
  <sheetData>
    <row r="2" spans="1:13">
      <c r="A2" s="68">
        <v>2025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>
      <c r="A3" s="95" t="s">
        <v>0</v>
      </c>
      <c r="B3" s="101" t="s">
        <v>1</v>
      </c>
      <c r="C3" s="101" t="s">
        <v>2</v>
      </c>
      <c r="D3" s="97" t="s">
        <v>3</v>
      </c>
      <c r="E3" s="97" t="s">
        <v>4</v>
      </c>
      <c r="F3" s="97" t="s">
        <v>5</v>
      </c>
      <c r="G3" s="97" t="s">
        <v>236</v>
      </c>
      <c r="H3" s="98" t="s">
        <v>7</v>
      </c>
      <c r="I3" s="97" t="s">
        <v>8</v>
      </c>
      <c r="J3" s="97" t="s">
        <v>9</v>
      </c>
      <c r="K3" s="97" t="s">
        <v>11</v>
      </c>
      <c r="L3" s="97" t="s">
        <v>12</v>
      </c>
      <c r="M3" s="99" t="s">
        <v>15</v>
      </c>
    </row>
    <row r="4" spans="1:13">
      <c r="A4" s="75" t="s">
        <v>310</v>
      </c>
      <c r="B4" s="76" t="s">
        <v>45</v>
      </c>
      <c r="C4" s="76" t="s">
        <v>155</v>
      </c>
      <c r="D4" s="77" t="s">
        <v>168</v>
      </c>
      <c r="E4" s="77">
        <v>7</v>
      </c>
      <c r="F4" s="77">
        <v>112</v>
      </c>
      <c r="G4" s="77" t="str">
        <f t="shared" ref="G4:G12" si="0">_xlfn.TEXTAFTER(A4, "-", 2)</f>
        <v>1</v>
      </c>
      <c r="H4" s="74">
        <v>45679</v>
      </c>
      <c r="I4" s="77">
        <v>2.61</v>
      </c>
      <c r="J4" s="77">
        <v>9.6</v>
      </c>
      <c r="K4" s="77">
        <v>22.089200000000002</v>
      </c>
      <c r="L4" s="77">
        <v>33.787300000000002</v>
      </c>
      <c r="M4" s="78">
        <v>1.3</v>
      </c>
    </row>
    <row r="5" spans="1:13">
      <c r="A5" s="61" t="s">
        <v>311</v>
      </c>
      <c r="B5" s="58" t="s">
        <v>45</v>
      </c>
      <c r="C5" s="58" t="s">
        <v>155</v>
      </c>
      <c r="D5" s="45" t="s">
        <v>168</v>
      </c>
      <c r="E5" s="45">
        <v>7</v>
      </c>
      <c r="F5" s="45">
        <v>112</v>
      </c>
      <c r="G5" s="45" t="str">
        <f t="shared" si="0"/>
        <v>2</v>
      </c>
      <c r="H5" s="59">
        <v>45686</v>
      </c>
      <c r="I5" s="45">
        <v>2.5099999999999998</v>
      </c>
      <c r="J5" s="45">
        <v>10.1</v>
      </c>
      <c r="K5" s="45">
        <v>19.707799999999999</v>
      </c>
      <c r="L5" s="45">
        <v>30.152899999999999</v>
      </c>
      <c r="M5" s="60">
        <v>1.1499999999999999</v>
      </c>
    </row>
    <row r="6" spans="1:13">
      <c r="A6" s="61" t="s">
        <v>312</v>
      </c>
      <c r="B6" s="58" t="s">
        <v>45</v>
      </c>
      <c r="C6" s="58" t="s">
        <v>155</v>
      </c>
      <c r="D6" s="45" t="s">
        <v>168</v>
      </c>
      <c r="E6" s="45">
        <v>7</v>
      </c>
      <c r="F6" s="45">
        <v>112</v>
      </c>
      <c r="G6" s="45" t="str">
        <f t="shared" si="0"/>
        <v>3</v>
      </c>
      <c r="H6" s="59">
        <v>45694</v>
      </c>
      <c r="I6" s="45">
        <v>2.73</v>
      </c>
      <c r="J6" s="45">
        <v>15.7</v>
      </c>
      <c r="K6" s="45">
        <v>11.8384</v>
      </c>
      <c r="L6" s="45">
        <v>18.1128</v>
      </c>
      <c r="M6" s="60">
        <v>2.0099999999999998</v>
      </c>
    </row>
    <row r="7" spans="1:13">
      <c r="A7" s="61" t="s">
        <v>313</v>
      </c>
      <c r="B7" s="58" t="s">
        <v>45</v>
      </c>
      <c r="C7" s="58" t="s">
        <v>155</v>
      </c>
      <c r="D7" s="45" t="s">
        <v>168</v>
      </c>
      <c r="E7" s="45">
        <v>7</v>
      </c>
      <c r="F7" s="45">
        <v>112</v>
      </c>
      <c r="G7" s="45" t="str">
        <f t="shared" si="0"/>
        <v>4</v>
      </c>
      <c r="H7" s="59">
        <v>45700</v>
      </c>
      <c r="I7" s="45">
        <v>2.83</v>
      </c>
      <c r="J7" s="45">
        <v>18</v>
      </c>
      <c r="K7" s="45">
        <v>9.2021999999999995</v>
      </c>
      <c r="L7" s="45">
        <v>14.0794</v>
      </c>
      <c r="M7" s="60">
        <v>1.88</v>
      </c>
    </row>
    <row r="8" spans="1:13">
      <c r="A8" s="61" t="s">
        <v>314</v>
      </c>
      <c r="B8" s="58" t="s">
        <v>45</v>
      </c>
      <c r="C8" s="58" t="s">
        <v>155</v>
      </c>
      <c r="D8" s="45" t="s">
        <v>168</v>
      </c>
      <c r="E8" s="45">
        <v>7</v>
      </c>
      <c r="F8" s="45">
        <v>112</v>
      </c>
      <c r="G8" s="45" t="str">
        <f t="shared" si="0"/>
        <v>5</v>
      </c>
      <c r="H8" s="59">
        <v>45707</v>
      </c>
      <c r="I8" s="45">
        <v>2.9</v>
      </c>
      <c r="J8" s="45">
        <v>20</v>
      </c>
      <c r="K8" s="45">
        <v>8.0752000000000006</v>
      </c>
      <c r="L8" s="45">
        <v>12.3551</v>
      </c>
      <c r="M8" s="60">
        <v>1.86</v>
      </c>
    </row>
    <row r="9" spans="1:13">
      <c r="A9" s="61" t="s">
        <v>315</v>
      </c>
      <c r="B9" s="58" t="s">
        <v>45</v>
      </c>
      <c r="C9" s="58" t="s">
        <v>155</v>
      </c>
      <c r="D9" s="45" t="s">
        <v>168</v>
      </c>
      <c r="E9" s="45">
        <v>7</v>
      </c>
      <c r="F9" s="45">
        <v>112</v>
      </c>
      <c r="G9" s="45" t="str">
        <f t="shared" si="0"/>
        <v>6</v>
      </c>
      <c r="H9" s="59">
        <v>45714</v>
      </c>
      <c r="I9" s="45">
        <v>2.92</v>
      </c>
      <c r="J9" s="45">
        <v>21.2</v>
      </c>
      <c r="K9" s="45">
        <v>6.7914000000000003</v>
      </c>
      <c r="L9" s="45">
        <v>10.3908</v>
      </c>
      <c r="M9" s="60">
        <v>2.04</v>
      </c>
    </row>
    <row r="10" spans="1:13">
      <c r="A10" s="61" t="s">
        <v>316</v>
      </c>
      <c r="B10" s="58" t="s">
        <v>45</v>
      </c>
      <c r="C10" s="58" t="s">
        <v>155</v>
      </c>
      <c r="D10" s="45" t="s">
        <v>168</v>
      </c>
      <c r="E10" s="45">
        <v>7</v>
      </c>
      <c r="F10" s="45">
        <v>112</v>
      </c>
      <c r="G10" s="45" t="str">
        <f t="shared" si="0"/>
        <v>7</v>
      </c>
      <c r="H10" s="59">
        <v>45721</v>
      </c>
      <c r="I10" s="45">
        <v>3.14</v>
      </c>
      <c r="J10" s="45">
        <v>22.3</v>
      </c>
      <c r="K10" s="45">
        <v>5.6643999999999997</v>
      </c>
      <c r="L10" s="45">
        <v>8.6664999999999992</v>
      </c>
      <c r="M10" s="60">
        <v>2.17</v>
      </c>
    </row>
    <row r="11" spans="1:13">
      <c r="A11" s="61" t="s">
        <v>317</v>
      </c>
      <c r="B11" s="58" t="s">
        <v>45</v>
      </c>
      <c r="C11" s="58" t="s">
        <v>155</v>
      </c>
      <c r="D11" s="45" t="s">
        <v>168</v>
      </c>
      <c r="E11" s="45">
        <v>7</v>
      </c>
      <c r="F11" s="45">
        <v>112</v>
      </c>
      <c r="G11" s="45" t="str">
        <f t="shared" si="0"/>
        <v>8</v>
      </c>
      <c r="H11" s="59">
        <v>45700</v>
      </c>
      <c r="I11" s="45">
        <v>3.25</v>
      </c>
      <c r="J11" s="45">
        <v>23</v>
      </c>
      <c r="K11" s="45">
        <v>5.1744000000000003</v>
      </c>
      <c r="L11" s="45">
        <v>7.9168000000000003</v>
      </c>
      <c r="M11" s="60">
        <v>2.0699999999999998</v>
      </c>
    </row>
    <row r="12" spans="1:13">
      <c r="A12" s="63" t="s">
        <v>318</v>
      </c>
      <c r="B12" s="64" t="s">
        <v>45</v>
      </c>
      <c r="C12" s="64" t="s">
        <v>155</v>
      </c>
      <c r="D12" s="65" t="s">
        <v>168</v>
      </c>
      <c r="E12" s="65">
        <v>7</v>
      </c>
      <c r="F12" s="65">
        <v>112</v>
      </c>
      <c r="G12" s="65" t="str">
        <f t="shared" si="0"/>
        <v>9</v>
      </c>
      <c r="H12" s="66">
        <v>45735</v>
      </c>
      <c r="I12" s="65">
        <v>3.22</v>
      </c>
      <c r="J12" s="65">
        <v>23.8</v>
      </c>
      <c r="K12" s="65">
        <v>5.1155999999999997</v>
      </c>
      <c r="L12" s="65">
        <v>7.8269000000000002</v>
      </c>
      <c r="M12" s="67">
        <v>1.95</v>
      </c>
    </row>
    <row r="13" spans="1: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>
      <c r="A14" s="68">
        <v>2026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13">
      <c r="A15" s="95" t="s">
        <v>0</v>
      </c>
      <c r="B15" s="101" t="s">
        <v>1</v>
      </c>
      <c r="C15" s="101" t="s">
        <v>2</v>
      </c>
      <c r="D15" s="97" t="s">
        <v>3</v>
      </c>
      <c r="E15" s="97" t="s">
        <v>4</v>
      </c>
      <c r="F15" s="97" t="s">
        <v>5</v>
      </c>
      <c r="G15" s="97" t="s">
        <v>236</v>
      </c>
      <c r="H15" s="98" t="s">
        <v>7</v>
      </c>
      <c r="I15" s="97" t="s">
        <v>8</v>
      </c>
      <c r="J15" s="97" t="s">
        <v>9</v>
      </c>
      <c r="K15" s="97" t="s">
        <v>11</v>
      </c>
      <c r="L15" s="97" t="s">
        <v>12</v>
      </c>
      <c r="M15" s="99" t="s">
        <v>15</v>
      </c>
    </row>
    <row r="16" spans="1:13">
      <c r="A16" s="83" t="str">
        <f>'Tabla general'!A103</f>
        <v>SB26MARC7-H112-1</v>
      </c>
      <c r="B16" s="77" t="str">
        <f>'Tabla general'!B103</f>
        <v>Sauvignon Blanc</v>
      </c>
      <c r="C16" s="77" t="str">
        <f>'Tabla general'!C103</f>
        <v>Maule</v>
      </c>
      <c r="D16" s="77" t="str">
        <f>'Tabla general'!D103</f>
        <v>MARIPOSAS</v>
      </c>
      <c r="E16" s="77">
        <f>'Tabla general'!E103</f>
        <v>7</v>
      </c>
      <c r="F16" s="77">
        <f>'Tabla general'!F103</f>
        <v>112</v>
      </c>
      <c r="G16" s="77" t="str">
        <f>'Tabla general'!G103</f>
        <v>1</v>
      </c>
      <c r="H16" s="74">
        <f>'Tabla general'!H103</f>
        <v>46037</v>
      </c>
      <c r="I16" s="77">
        <f>'Tabla general'!I103</f>
        <v>2.6</v>
      </c>
      <c r="J16" s="77">
        <f>'Tabla general'!J103</f>
        <v>9.1999999999999993</v>
      </c>
      <c r="K16" s="77">
        <f>'Tabla general'!K103*0.49</f>
        <v>19.874400000000001</v>
      </c>
      <c r="L16" s="77">
        <f>'Tabla general'!L103*1.53</f>
        <v>30.407832000000003</v>
      </c>
      <c r="M16" s="78">
        <f>'Tabla general'!N103/'Tabla general'!O103</f>
        <v>1.0843005181347152</v>
      </c>
    </row>
    <row r="17" spans="1:13">
      <c r="A17" s="84" t="str">
        <f>'Tabla general'!A104</f>
        <v>SB26MARC7-H112-2</v>
      </c>
      <c r="B17" s="45" t="str">
        <f>'Tabla general'!B104</f>
        <v>Sauvignon Blanc</v>
      </c>
      <c r="C17" s="45" t="str">
        <f>'Tabla general'!C104</f>
        <v>Maule</v>
      </c>
      <c r="D17" s="45" t="str">
        <f>'Tabla general'!D104</f>
        <v>MARIPOSAS</v>
      </c>
      <c r="E17" s="45">
        <f>'Tabla general'!E104</f>
        <v>7</v>
      </c>
      <c r="F17" s="45">
        <f>'Tabla general'!F104</f>
        <v>112</v>
      </c>
      <c r="G17" s="45" t="str">
        <f>'Tabla general'!G104</f>
        <v>2</v>
      </c>
      <c r="H17" s="59">
        <f>'Tabla general'!H104</f>
        <v>46044</v>
      </c>
      <c r="I17" s="45">
        <f>'Tabla general'!I104</f>
        <v>2.72</v>
      </c>
      <c r="J17" s="45">
        <f>'Tabla general'!J104</f>
        <v>12.5</v>
      </c>
      <c r="K17" s="45">
        <f>'Tabla general'!K104*0.49</f>
        <v>14.112</v>
      </c>
      <c r="L17" s="45">
        <f>'Tabla general'!L104*1.53</f>
        <v>21.591360000000002</v>
      </c>
      <c r="M17" s="60">
        <f>'Tabla general'!N104/'Tabla general'!O104</f>
        <v>1.4480000000000002</v>
      </c>
    </row>
    <row r="18" spans="1:13">
      <c r="A18" s="84" t="str">
        <f>'Tabla general'!A105</f>
        <v>SB26MARC7-H112-3</v>
      </c>
      <c r="B18" s="45" t="str">
        <f>'Tabla general'!B105</f>
        <v>Sauvignon Blanc</v>
      </c>
      <c r="C18" s="45" t="str">
        <f>'Tabla general'!C105</f>
        <v>Maule</v>
      </c>
      <c r="D18" s="45" t="str">
        <f>'Tabla general'!D105</f>
        <v>MARIPOSAS</v>
      </c>
      <c r="E18" s="45">
        <f>'Tabla general'!E105</f>
        <v>7</v>
      </c>
      <c r="F18" s="45">
        <f>'Tabla general'!F105</f>
        <v>112</v>
      </c>
      <c r="G18" s="45" t="str">
        <f>'Tabla general'!G105</f>
        <v>3</v>
      </c>
      <c r="H18" s="59">
        <f>'Tabla general'!H105</f>
        <v>46050</v>
      </c>
      <c r="I18" s="45">
        <f>'Tabla general'!I105</f>
        <v>2.81</v>
      </c>
      <c r="J18" s="45">
        <f>'Tabla general'!J105</f>
        <v>14.4</v>
      </c>
      <c r="K18" s="45">
        <f>'Tabla general'!K105*0.49</f>
        <v>12.7988</v>
      </c>
      <c r="L18" s="45">
        <f>'Tabla general'!L105*1.53</f>
        <v>19.582163999999999</v>
      </c>
      <c r="M18" s="60">
        <f>'Tabla general'!N105/'Tabla general'!O105</f>
        <v>1.66595</v>
      </c>
    </row>
    <row r="19" spans="1:13">
      <c r="A19" s="84" t="str">
        <f>'Tabla general'!A106</f>
        <v>SB26MARC7-H112-4</v>
      </c>
      <c r="B19" s="45" t="str">
        <f>'Tabla general'!B106</f>
        <v>Sauvignon Blanc</v>
      </c>
      <c r="C19" s="45" t="str">
        <f>'Tabla general'!C106</f>
        <v>Maule</v>
      </c>
      <c r="D19" s="45" t="str">
        <f>'Tabla general'!D106</f>
        <v>MARIPOSAS</v>
      </c>
      <c r="E19" s="45">
        <f>'Tabla general'!E106</f>
        <v>7</v>
      </c>
      <c r="F19" s="45">
        <f>'Tabla general'!F106</f>
        <v>112</v>
      </c>
      <c r="G19" s="45" t="str">
        <f>'Tabla general'!G106</f>
        <v>4</v>
      </c>
      <c r="H19" s="59">
        <f>'Tabla general'!H106</f>
        <v>46058</v>
      </c>
      <c r="I19" s="45">
        <f>'Tabla general'!I106</f>
        <v>2.95</v>
      </c>
      <c r="J19" s="45">
        <f>'Tabla general'!J106</f>
        <v>16.3</v>
      </c>
      <c r="K19" s="45">
        <f>'Tabla general'!K106*0.49</f>
        <v>8.9277999999999995</v>
      </c>
      <c r="L19" s="45">
        <f>'Tabla general'!L106*1.53</f>
        <v>13.659533999999999</v>
      </c>
      <c r="M19" s="60">
        <f>'Tabla general'!N106/'Tabla general'!O106</f>
        <v>1.8440000000000001</v>
      </c>
    </row>
    <row r="20" spans="1:13">
      <c r="A20" s="84" t="str">
        <f>'Tabla general'!A107</f>
        <v>SB26MARC7-H112-5</v>
      </c>
      <c r="B20" s="45" t="str">
        <f>'Tabla general'!B107</f>
        <v>Sauvignon Blanc</v>
      </c>
      <c r="C20" s="45" t="str">
        <f>'Tabla general'!C107</f>
        <v>Maule</v>
      </c>
      <c r="D20" s="45" t="str">
        <f>'Tabla general'!D107</f>
        <v>MARIPOSAS</v>
      </c>
      <c r="E20" s="45">
        <f>'Tabla general'!E107</f>
        <v>7</v>
      </c>
      <c r="F20" s="45">
        <f>'Tabla general'!F107</f>
        <v>112</v>
      </c>
      <c r="G20" s="45" t="str">
        <f>'Tabla general'!G107</f>
        <v>5</v>
      </c>
      <c r="H20" s="59">
        <f>'Tabla general'!H107</f>
        <v>46065</v>
      </c>
      <c r="I20" s="45">
        <f>'Tabla general'!I107</f>
        <v>3.01</v>
      </c>
      <c r="J20" s="45">
        <f>'Tabla general'!J107</f>
        <v>19.100000000000001</v>
      </c>
      <c r="K20" s="45">
        <f>'Tabla general'!K107*0.49</f>
        <v>7.7615999999999996</v>
      </c>
      <c r="L20" s="45">
        <f>'Tabla general'!L107*1.53</f>
        <v>11.875247999999999</v>
      </c>
      <c r="M20" s="60">
        <f>'Tabla general'!N107/'Tabla general'!O107</f>
        <v>1.7690000000000001</v>
      </c>
    </row>
    <row r="21" spans="1:13">
      <c r="A21" s="84" t="str">
        <f>'Tabla general'!A108</f>
        <v>SB26MARC7-H112-6</v>
      </c>
      <c r="B21" s="45" t="str">
        <f>'Tabla general'!B108</f>
        <v>Sauvignon Blanc</v>
      </c>
      <c r="C21" s="45" t="str">
        <f>'Tabla general'!C108</f>
        <v>Maule</v>
      </c>
      <c r="D21" s="45" t="str">
        <f>'Tabla general'!D108</f>
        <v>MARIPOSAS</v>
      </c>
      <c r="E21" s="45">
        <f>'Tabla general'!E108</f>
        <v>7</v>
      </c>
      <c r="F21" s="45">
        <f>'Tabla general'!F108</f>
        <v>112</v>
      </c>
      <c r="G21" s="45" t="str">
        <f>'Tabla general'!G108</f>
        <v>6</v>
      </c>
      <c r="H21" s="59">
        <f>'Tabla general'!H108</f>
        <v>46071</v>
      </c>
      <c r="I21" s="45">
        <f>'Tabla general'!I108</f>
        <v>3.12</v>
      </c>
      <c r="J21" s="45">
        <f>'Tabla general'!J108</f>
        <v>20.3</v>
      </c>
      <c r="K21" s="45">
        <f>'Tabla general'!K108*0.49</f>
        <v>6.468</v>
      </c>
      <c r="L21" s="45">
        <f>'Tabla general'!L108*1.53</f>
        <v>9.8960399999999993</v>
      </c>
      <c r="M21" s="60">
        <f>'Tabla general'!N108/'Tabla general'!O108</f>
        <v>1.8085</v>
      </c>
    </row>
    <row r="22" spans="1:13">
      <c r="A22" s="84" t="str">
        <f>'Tabla general'!A109</f>
        <v>SB26MARC7-H112-7</v>
      </c>
      <c r="B22" s="45" t="str">
        <f>'Tabla general'!B109</f>
        <v>Sauvignon Blanc</v>
      </c>
      <c r="C22" s="45" t="str">
        <f>'Tabla general'!C109</f>
        <v>Maule</v>
      </c>
      <c r="D22" s="45" t="str">
        <f>'Tabla general'!D109</f>
        <v>MARIPOSAS</v>
      </c>
      <c r="E22" s="45">
        <f>'Tabla general'!E109</f>
        <v>7</v>
      </c>
      <c r="F22" s="45">
        <f>'Tabla general'!F109</f>
        <v>112</v>
      </c>
      <c r="G22" s="45" t="str">
        <f>'Tabla general'!G109</f>
        <v>7</v>
      </c>
      <c r="H22" s="59">
        <f>'Tabla general'!H109</f>
        <v>46079</v>
      </c>
      <c r="I22" s="45">
        <f>'Tabla general'!I109</f>
        <v>3.1</v>
      </c>
      <c r="J22" s="45">
        <f>'Tabla general'!J109</f>
        <v>22.6</v>
      </c>
      <c r="K22" s="45">
        <f>'Tabla general'!K109*0.49</f>
        <v>5.6448</v>
      </c>
      <c r="L22" s="45">
        <f>'Tabla general'!L109*1.53</f>
        <v>8.6365440000000007</v>
      </c>
      <c r="M22" s="60">
        <f>'Tabla general'!N109/'Tabla general'!O109</f>
        <v>1.96</v>
      </c>
    </row>
    <row r="23" spans="1:13">
      <c r="A23" s="84" t="str">
        <f>'Tabla general'!A110</f>
        <v>SB26MARC7-H112-8</v>
      </c>
      <c r="B23" s="45" t="str">
        <f>'Tabla general'!B110</f>
        <v>Sauvignon Blanc</v>
      </c>
      <c r="C23" s="45" t="str">
        <f>'Tabla general'!C110</f>
        <v>Maule</v>
      </c>
      <c r="D23" s="45" t="str">
        <f>'Tabla general'!D110</f>
        <v>MARIPOSAS</v>
      </c>
      <c r="E23" s="45">
        <f>'Tabla general'!E110</f>
        <v>7</v>
      </c>
      <c r="F23" s="45">
        <f>'Tabla general'!F110</f>
        <v>112</v>
      </c>
      <c r="G23" s="45" t="str">
        <f>'Tabla general'!G110</f>
        <v>8</v>
      </c>
      <c r="H23" s="59">
        <f>'Tabla general'!H110</f>
        <v>46086</v>
      </c>
      <c r="I23" s="45">
        <f>'Tabla general'!I110</f>
        <v>3.22</v>
      </c>
      <c r="J23" s="45">
        <f>'Tabla general'!J110</f>
        <v>23.2</v>
      </c>
      <c r="K23" s="45">
        <f>'Tabla general'!K110*0.49</f>
        <v>5.0225</v>
      </c>
      <c r="L23" s="45">
        <f>'Tabla general'!L110*1.53</f>
        <v>7.6844250000000001</v>
      </c>
      <c r="M23" s="60">
        <f>'Tabla general'!N110/'Tabla general'!O110</f>
        <v>2.0609999999999999</v>
      </c>
    </row>
    <row r="24" spans="1:13">
      <c r="A24" s="84" t="str">
        <f>'Tabla general'!A111</f>
        <v>SB26MARC7-H112-9</v>
      </c>
      <c r="B24" s="45" t="str">
        <f>'Tabla general'!B111</f>
        <v>Sauvignon Blanc</v>
      </c>
      <c r="C24" s="45" t="str">
        <f>'Tabla general'!C111</f>
        <v>Maule</v>
      </c>
      <c r="D24" s="45" t="str">
        <f>'Tabla general'!D111</f>
        <v>MARIPOSAS</v>
      </c>
      <c r="E24" s="45">
        <f>'Tabla general'!E111</f>
        <v>7</v>
      </c>
      <c r="F24" s="45">
        <f>'Tabla general'!F111</f>
        <v>112</v>
      </c>
      <c r="G24" s="45" t="str">
        <f>'Tabla general'!G111</f>
        <v>9</v>
      </c>
      <c r="H24" s="59">
        <f>'Tabla general'!H111</f>
        <v>46093</v>
      </c>
      <c r="I24" s="45">
        <f>'Tabla general'!I111</f>
        <v>3.16</v>
      </c>
      <c r="J24" s="45">
        <f>'Tabla general'!J111</f>
        <v>23.8</v>
      </c>
      <c r="K24" s="45">
        <f>'Tabla general'!K111*0.49</f>
        <v>4.6795</v>
      </c>
      <c r="L24" s="45">
        <f>'Tabla general'!L111*1.53</f>
        <v>7.1596349999999997</v>
      </c>
      <c r="M24" s="60">
        <f>'Tabla general'!N111/'Tabla general'!O111</f>
        <v>2.0935000000000001</v>
      </c>
    </row>
    <row r="25" spans="1:13">
      <c r="A25" s="84" t="str">
        <f>'Tabla general'!A112</f>
        <v>SB26MARC7-H112-10</v>
      </c>
      <c r="B25" s="45" t="str">
        <f>'Tabla general'!B112</f>
        <v>Sauvignon Blanc</v>
      </c>
      <c r="C25" s="45" t="str">
        <f>'Tabla general'!C112</f>
        <v>Maule</v>
      </c>
      <c r="D25" s="45" t="str">
        <f>'Tabla general'!D112</f>
        <v>MARIPOSAS</v>
      </c>
      <c r="E25" s="45">
        <f>'Tabla general'!E112</f>
        <v>7</v>
      </c>
      <c r="F25" s="45">
        <f>'Tabla general'!F112</f>
        <v>112</v>
      </c>
      <c r="G25" s="45" t="str">
        <f>'Tabla general'!G112</f>
        <v>10</v>
      </c>
      <c r="H25" s="59">
        <f>'Tabla general'!H112</f>
        <v>46108</v>
      </c>
      <c r="I25" s="45">
        <f>'Tabla general'!I112</f>
        <v>3.06</v>
      </c>
      <c r="J25" s="45">
        <f>'Tabla general'!J112</f>
        <v>24.8</v>
      </c>
      <c r="K25" s="45">
        <f>'Tabla general'!K112*0.49</f>
        <v>4.5178000000000003</v>
      </c>
      <c r="L25" s="45">
        <f>'Tabla general'!L112*1.53</f>
        <v>6.9122340000000007</v>
      </c>
      <c r="M25" s="60">
        <f>'Tabla general'!N112/'Tabla general'!O112</f>
        <v>1.9325000000000001</v>
      </c>
    </row>
    <row r="26" spans="1:13">
      <c r="A26" s="84" t="str">
        <f>'Tabla general'!A113</f>
        <v>SB26MARC7-H112-11</v>
      </c>
      <c r="B26" s="45" t="str">
        <f>'Tabla general'!B113</f>
        <v>Sauvignon Blanc</v>
      </c>
      <c r="C26" s="45" t="str">
        <f>'Tabla general'!C113</f>
        <v>Maule</v>
      </c>
      <c r="D26" s="45" t="str">
        <f>'Tabla general'!D113</f>
        <v>MARIPOSAS</v>
      </c>
      <c r="E26" s="45">
        <f>'Tabla general'!E113</f>
        <v>7</v>
      </c>
      <c r="F26" s="45">
        <f>'Tabla general'!F113</f>
        <v>112</v>
      </c>
      <c r="G26" s="45" t="str">
        <f>'Tabla general'!G113</f>
        <v>11</v>
      </c>
      <c r="H26" s="59">
        <f>'Tabla general'!H113</f>
        <v>46114</v>
      </c>
      <c r="I26" s="45">
        <f>'Tabla general'!I113</f>
        <v>3.06</v>
      </c>
      <c r="J26" s="45">
        <f>'Tabla general'!J113</f>
        <v>25.3</v>
      </c>
      <c r="K26" s="45">
        <f>'Tabla general'!K113*0.49</f>
        <v>4.8853</v>
      </c>
      <c r="L26" s="45">
        <f>'Tabla general'!L113*1.53</f>
        <v>7.4745090000000003</v>
      </c>
      <c r="M26" s="60">
        <f>'Tabla general'!N113/'Tabla general'!O113</f>
        <v>2.0505</v>
      </c>
    </row>
    <row r="27" spans="1:13">
      <c r="A27" s="84" t="str">
        <f>'Tabla general'!A114</f>
        <v>SB26MARC7-H112-12</v>
      </c>
      <c r="B27" s="45" t="str">
        <f>'Tabla general'!B114</f>
        <v>Sauvignon Blanc</v>
      </c>
      <c r="C27" s="45" t="str">
        <f>'Tabla general'!C114</f>
        <v>Maule</v>
      </c>
      <c r="D27" s="45" t="str">
        <f>'Tabla general'!D114</f>
        <v>MARIPOSAS</v>
      </c>
      <c r="E27" s="45">
        <f>'Tabla general'!E114</f>
        <v>7</v>
      </c>
      <c r="F27" s="45">
        <f>'Tabla general'!F114</f>
        <v>112</v>
      </c>
      <c r="G27" s="45">
        <f>'Tabla general'!G114</f>
        <v>12</v>
      </c>
      <c r="H27" s="59">
        <f>'Tabla general'!H114</f>
        <v>46121</v>
      </c>
      <c r="I27" s="45">
        <f>'Tabla general'!I114</f>
        <v>3.15</v>
      </c>
      <c r="J27" s="45">
        <f>'Tabla general'!J114</f>
        <v>25.1</v>
      </c>
      <c r="K27" s="45">
        <f>'Tabla general'!K114*0.49</f>
        <v>4.5129000000000001</v>
      </c>
      <c r="L27" s="45">
        <f>'Tabla general'!L114*1.53</f>
        <v>6.9047369999999999</v>
      </c>
      <c r="M27" s="60">
        <f>'Tabla general'!N114/'Tabla general'!O114</f>
        <v>2.0419999999999998</v>
      </c>
    </row>
    <row r="28" spans="1:13">
      <c r="A28" s="85" t="str">
        <f>'Tabla general'!A115</f>
        <v>SB26MARC7-H112-13</v>
      </c>
      <c r="B28" s="65" t="str">
        <f>'Tabla general'!B115</f>
        <v>Sauvignon Blanc</v>
      </c>
      <c r="C28" s="65" t="str">
        <f>'Tabla general'!C115</f>
        <v>Maule</v>
      </c>
      <c r="D28" s="65" t="str">
        <f>'Tabla general'!D115</f>
        <v>MARIPOSAS</v>
      </c>
      <c r="E28" s="65">
        <f>'Tabla general'!E115</f>
        <v>7</v>
      </c>
      <c r="F28" s="65">
        <f>'Tabla general'!F115</f>
        <v>112</v>
      </c>
      <c r="G28" s="65">
        <f>'Tabla general'!G115</f>
        <v>13</v>
      </c>
      <c r="H28" s="66">
        <f>'Tabla general'!H115</f>
        <v>46128</v>
      </c>
      <c r="I28" s="65">
        <f>'Tabla general'!I115</f>
        <v>3.24</v>
      </c>
      <c r="J28" s="65">
        <f>'Tabla general'!J115</f>
        <v>25.3</v>
      </c>
      <c r="K28" s="65">
        <f>'Tabla general'!K115*0.49</f>
        <v>4.1993</v>
      </c>
      <c r="L28" s="65">
        <f>'Tabla general'!L115*1.53</f>
        <v>6.4249290000000006</v>
      </c>
      <c r="M28" s="67">
        <f>'Tabla general'!N115/'Tabla general'!O115</f>
        <v>1.9219999999999999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F42F-3AE6-4CD9-A3A5-9D777BABBA84}">
  <dimension ref="A2:M27"/>
  <sheetViews>
    <sheetView topLeftCell="A15" workbookViewId="0">
      <selection activeCell="D26" sqref="D26"/>
    </sheetView>
  </sheetViews>
  <sheetFormatPr defaultColWidth="8.85546875" defaultRowHeight="14.45"/>
  <cols>
    <col min="1" max="1" width="19.7109375" bestFit="1" customWidth="1"/>
    <col min="2" max="2" width="11.5703125" bestFit="1" customWidth="1"/>
    <col min="4" max="4" width="19.5703125" bestFit="1" customWidth="1"/>
    <col min="8" max="8" width="11.140625" bestFit="1" customWidth="1"/>
  </cols>
  <sheetData>
    <row r="2" spans="1:13">
      <c r="A2" s="46">
        <v>2025</v>
      </c>
    </row>
    <row r="3" spans="1:13">
      <c r="A3" s="51" t="s">
        <v>0</v>
      </c>
      <c r="B3" s="52" t="s">
        <v>1</v>
      </c>
      <c r="C3" s="52" t="s">
        <v>2</v>
      </c>
      <c r="D3" s="53" t="s">
        <v>3</v>
      </c>
      <c r="E3" s="53" t="s">
        <v>4</v>
      </c>
      <c r="F3" s="53" t="s">
        <v>5</v>
      </c>
      <c r="G3" s="54" t="s">
        <v>236</v>
      </c>
      <c r="H3" s="55" t="s">
        <v>7</v>
      </c>
      <c r="I3" s="53" t="s">
        <v>8</v>
      </c>
      <c r="J3" s="53" t="s">
        <v>9</v>
      </c>
      <c r="K3" s="53" t="s">
        <v>11</v>
      </c>
      <c r="L3" s="53" t="s">
        <v>12</v>
      </c>
      <c r="M3" s="56" t="s">
        <v>15</v>
      </c>
    </row>
    <row r="4" spans="1:13">
      <c r="A4" s="9" t="s">
        <v>319</v>
      </c>
      <c r="B4" s="5" t="s">
        <v>17</v>
      </c>
      <c r="C4" s="5" t="s">
        <v>155</v>
      </c>
      <c r="D4" s="3" t="s">
        <v>183</v>
      </c>
      <c r="E4" s="3">
        <v>45</v>
      </c>
      <c r="F4" s="3">
        <v>15</v>
      </c>
      <c r="G4" s="22" t="str">
        <f t="shared" ref="G4:G11" si="0">_xlfn.TEXTAFTER(A4, "-", 2)</f>
        <v>1</v>
      </c>
      <c r="H4" s="102">
        <v>45686</v>
      </c>
      <c r="I4" s="3">
        <v>2.61</v>
      </c>
      <c r="J4" s="3">
        <v>10.7</v>
      </c>
      <c r="K4" s="3">
        <v>15.180199999999999</v>
      </c>
      <c r="L4" s="3">
        <v>23.2257</v>
      </c>
      <c r="M4" s="49">
        <v>1.08</v>
      </c>
    </row>
    <row r="5" spans="1:13">
      <c r="A5" s="104" t="s">
        <v>320</v>
      </c>
      <c r="B5" s="5" t="s">
        <v>17</v>
      </c>
      <c r="C5" s="5" t="s">
        <v>155</v>
      </c>
      <c r="D5" s="3" t="s">
        <v>183</v>
      </c>
      <c r="E5" s="3">
        <v>45</v>
      </c>
      <c r="F5" s="3">
        <v>15</v>
      </c>
      <c r="G5" s="22" t="str">
        <f t="shared" si="0"/>
        <v>2</v>
      </c>
      <c r="H5" s="102">
        <v>45694</v>
      </c>
      <c r="I5" s="3">
        <v>2.78</v>
      </c>
      <c r="J5" s="3">
        <v>14.4</v>
      </c>
      <c r="K5" s="3">
        <v>9.3198000000000008</v>
      </c>
      <c r="L5" s="3">
        <v>14.2593</v>
      </c>
      <c r="M5" s="49">
        <v>1.21</v>
      </c>
    </row>
    <row r="6" spans="1:13">
      <c r="A6" s="104" t="s">
        <v>321</v>
      </c>
      <c r="B6" s="5" t="s">
        <v>17</v>
      </c>
      <c r="C6" s="5" t="s">
        <v>155</v>
      </c>
      <c r="D6" s="3" t="s">
        <v>183</v>
      </c>
      <c r="E6" s="3">
        <v>45</v>
      </c>
      <c r="F6" s="3">
        <v>15</v>
      </c>
      <c r="G6" s="22" t="str">
        <f t="shared" si="0"/>
        <v>3</v>
      </c>
      <c r="H6" s="102">
        <v>45700</v>
      </c>
      <c r="I6" s="3">
        <v>2.85</v>
      </c>
      <c r="J6" s="3">
        <v>17.2</v>
      </c>
      <c r="K6" s="3">
        <v>7.7615999999999996</v>
      </c>
      <c r="L6" s="3">
        <v>11.8752</v>
      </c>
      <c r="M6" s="49">
        <v>1.43</v>
      </c>
    </row>
    <row r="7" spans="1:13">
      <c r="A7" s="9" t="s">
        <v>322</v>
      </c>
      <c r="B7" s="5" t="s">
        <v>17</v>
      </c>
      <c r="C7" s="5" t="s">
        <v>155</v>
      </c>
      <c r="D7" s="3" t="s">
        <v>183</v>
      </c>
      <c r="E7" s="3">
        <v>45</v>
      </c>
      <c r="F7" s="3">
        <v>15</v>
      </c>
      <c r="G7" s="22" t="str">
        <f t="shared" si="0"/>
        <v>4</v>
      </c>
      <c r="H7" s="102">
        <v>45707</v>
      </c>
      <c r="I7" s="3">
        <v>2.92</v>
      </c>
      <c r="J7" s="3">
        <v>19</v>
      </c>
      <c r="K7" s="3">
        <v>6.1642000000000001</v>
      </c>
      <c r="L7" s="3">
        <v>9.4312000000000005</v>
      </c>
      <c r="M7" s="49">
        <v>1.55</v>
      </c>
    </row>
    <row r="8" spans="1:13">
      <c r="A8" s="104" t="s">
        <v>323</v>
      </c>
      <c r="B8" s="5" t="s">
        <v>17</v>
      </c>
      <c r="C8" s="5" t="s">
        <v>155</v>
      </c>
      <c r="D8" s="3" t="s">
        <v>183</v>
      </c>
      <c r="E8" s="3">
        <v>45</v>
      </c>
      <c r="F8" s="3">
        <v>15</v>
      </c>
      <c r="G8" s="22" t="str">
        <f t="shared" si="0"/>
        <v>5</v>
      </c>
      <c r="H8" s="102">
        <v>45714</v>
      </c>
      <c r="I8" s="3">
        <v>2.98</v>
      </c>
      <c r="J8" s="3">
        <v>21.3</v>
      </c>
      <c r="K8" s="3">
        <v>5.4291999999999998</v>
      </c>
      <c r="L8" s="3">
        <v>8.3066999999999993</v>
      </c>
      <c r="M8" s="49">
        <v>1.68</v>
      </c>
    </row>
    <row r="9" spans="1:13">
      <c r="A9" s="104" t="s">
        <v>324</v>
      </c>
      <c r="B9" s="5" t="s">
        <v>17</v>
      </c>
      <c r="C9" s="5" t="s">
        <v>155</v>
      </c>
      <c r="D9" s="3" t="s">
        <v>183</v>
      </c>
      <c r="E9" s="3">
        <v>45</v>
      </c>
      <c r="F9" s="3">
        <v>15</v>
      </c>
      <c r="G9" s="22" t="str">
        <f t="shared" si="0"/>
        <v>6</v>
      </c>
      <c r="H9" s="102">
        <v>45721</v>
      </c>
      <c r="I9" s="3">
        <v>3.13</v>
      </c>
      <c r="J9" s="3">
        <v>21.7</v>
      </c>
      <c r="K9" s="3">
        <v>5.4096000000000002</v>
      </c>
      <c r="L9" s="3">
        <v>8.2766999999999999</v>
      </c>
      <c r="M9" s="49">
        <v>1.97</v>
      </c>
    </row>
    <row r="10" spans="1:13">
      <c r="A10" s="104" t="s">
        <v>325</v>
      </c>
      <c r="B10" s="5" t="s">
        <v>17</v>
      </c>
      <c r="C10" s="5" t="s">
        <v>155</v>
      </c>
      <c r="D10" s="3" t="s">
        <v>183</v>
      </c>
      <c r="E10" s="3">
        <v>45</v>
      </c>
      <c r="F10" s="3">
        <v>15</v>
      </c>
      <c r="G10" s="22" t="str">
        <f t="shared" si="0"/>
        <v>7</v>
      </c>
      <c r="H10" s="102">
        <v>45728</v>
      </c>
      <c r="I10" s="3">
        <v>3.29</v>
      </c>
      <c r="J10" s="3">
        <v>21.8</v>
      </c>
      <c r="K10" s="3">
        <v>5.3704000000000001</v>
      </c>
      <c r="L10" s="3">
        <v>8.2166999999999994</v>
      </c>
      <c r="M10" s="49">
        <v>1.76</v>
      </c>
    </row>
    <row r="11" spans="1:13">
      <c r="A11" s="105" t="s">
        <v>326</v>
      </c>
      <c r="B11" s="106" t="s">
        <v>17</v>
      </c>
      <c r="C11" s="106" t="s">
        <v>155</v>
      </c>
      <c r="D11" s="12" t="s">
        <v>183</v>
      </c>
      <c r="E11" s="12">
        <v>45</v>
      </c>
      <c r="F11" s="12">
        <v>15</v>
      </c>
      <c r="G11" s="36" t="str">
        <f t="shared" si="0"/>
        <v>8</v>
      </c>
      <c r="H11" s="107">
        <v>45735</v>
      </c>
      <c r="I11" s="12">
        <v>3.21</v>
      </c>
      <c r="J11" s="12">
        <v>22.3</v>
      </c>
      <c r="K11" s="12">
        <v>5.1009000000000002</v>
      </c>
      <c r="L11" s="12">
        <v>7.8044000000000002</v>
      </c>
      <c r="M11" s="50">
        <v>1.81</v>
      </c>
    </row>
    <row r="13" spans="1:13">
      <c r="A13" s="68">
        <v>2026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</row>
    <row r="14" spans="1:13">
      <c r="A14" s="95" t="s">
        <v>0</v>
      </c>
      <c r="B14" s="101" t="s">
        <v>1</v>
      </c>
      <c r="C14" s="101" t="s">
        <v>2</v>
      </c>
      <c r="D14" s="97" t="s">
        <v>3</v>
      </c>
      <c r="E14" s="97" t="s">
        <v>4</v>
      </c>
      <c r="F14" s="97" t="s">
        <v>5</v>
      </c>
      <c r="G14" s="97" t="s">
        <v>236</v>
      </c>
      <c r="H14" s="98" t="s">
        <v>7</v>
      </c>
      <c r="I14" s="97" t="s">
        <v>8</v>
      </c>
      <c r="J14" s="97" t="s">
        <v>9</v>
      </c>
      <c r="K14" s="97" t="s">
        <v>11</v>
      </c>
      <c r="L14" s="97" t="s">
        <v>12</v>
      </c>
      <c r="M14" s="99" t="s">
        <v>15</v>
      </c>
    </row>
    <row r="15" spans="1:13">
      <c r="A15" s="83" t="str">
        <f>'Tabla general'!A117</f>
        <v>CH26QAGC45-H15-1</v>
      </c>
      <c r="B15" s="77" t="str">
        <f>'Tabla general'!B117</f>
        <v>Chardonnay</v>
      </c>
      <c r="C15" s="77" t="str">
        <f>'Tabla general'!C117</f>
        <v>Maule</v>
      </c>
      <c r="D15" s="77" t="str">
        <f>'Tabla general'!D117</f>
        <v>QUEBRADA DE AGUA</v>
      </c>
      <c r="E15" s="77">
        <f>'Tabla general'!E117</f>
        <v>45</v>
      </c>
      <c r="F15" s="77">
        <f>'Tabla general'!F117</f>
        <v>15</v>
      </c>
      <c r="G15" s="77" t="str">
        <f>'Tabla general'!G117</f>
        <v>1</v>
      </c>
      <c r="H15" s="74">
        <f>'Tabla general'!H117</f>
        <v>46037</v>
      </c>
      <c r="I15" s="77">
        <f>'Tabla general'!I117</f>
        <v>2.7</v>
      </c>
      <c r="J15" s="77">
        <f>'Tabla general'!J117</f>
        <v>9.4</v>
      </c>
      <c r="K15" s="77">
        <f>'Tabla general'!K117*0.49</f>
        <v>15.464399999999999</v>
      </c>
      <c r="L15" s="77">
        <f>'Tabla general'!L117*1.53</f>
        <v>23.660532</v>
      </c>
      <c r="M15" s="78">
        <f>'Tabla general'!N117/'Tabla general'!O117</f>
        <v>1.3307407407407408</v>
      </c>
    </row>
    <row r="16" spans="1:13">
      <c r="A16" s="84" t="str">
        <f>'Tabla general'!A118</f>
        <v>CH26QAGC45-H15-2</v>
      </c>
      <c r="B16" s="45" t="str">
        <f>'Tabla general'!B118</f>
        <v>Chardonnay</v>
      </c>
      <c r="C16" s="45" t="str">
        <f>'Tabla general'!C118</f>
        <v>Maule</v>
      </c>
      <c r="D16" s="45" t="str">
        <f>'Tabla general'!D118</f>
        <v>QUEBRADA DE AGUA</v>
      </c>
      <c r="E16" s="45">
        <f>'Tabla general'!E118</f>
        <v>45</v>
      </c>
      <c r="F16" s="45">
        <f>'Tabla general'!F118</f>
        <v>15</v>
      </c>
      <c r="G16" s="45" t="str">
        <f>'Tabla general'!G118</f>
        <v>2</v>
      </c>
      <c r="H16" s="59">
        <f>'Tabla general'!H118</f>
        <v>46044</v>
      </c>
      <c r="I16" s="45">
        <f>'Tabla general'!I118</f>
        <v>2.83</v>
      </c>
      <c r="J16" s="45">
        <f>'Tabla general'!J118</f>
        <v>13.9</v>
      </c>
      <c r="K16" s="45">
        <f>'Tabla general'!K118*0.49</f>
        <v>11.710999999999999</v>
      </c>
      <c r="L16" s="45">
        <f>'Tabla general'!L118*1.53</f>
        <v>17.917829999999999</v>
      </c>
      <c r="M16" s="60">
        <f>'Tabla general'!N118/'Tabla general'!O118</f>
        <v>1.2955000000000001</v>
      </c>
    </row>
    <row r="17" spans="1:13">
      <c r="A17" s="84" t="str">
        <f>'Tabla general'!A119</f>
        <v>CH26QAGC45-H15-3</v>
      </c>
      <c r="B17" s="45" t="str">
        <f>'Tabla general'!B119</f>
        <v>Chardonnay</v>
      </c>
      <c r="C17" s="45" t="str">
        <f>'Tabla general'!C119</f>
        <v>Maule</v>
      </c>
      <c r="D17" s="45" t="str">
        <f>'Tabla general'!D119</f>
        <v>QUEBRADA DE AGUA</v>
      </c>
      <c r="E17" s="45">
        <f>'Tabla general'!E119</f>
        <v>45</v>
      </c>
      <c r="F17" s="45">
        <f>'Tabla general'!F119</f>
        <v>15</v>
      </c>
      <c r="G17" s="45" t="str">
        <f>'Tabla general'!G119</f>
        <v>3</v>
      </c>
      <c r="H17" s="59">
        <f>'Tabla general'!H119</f>
        <v>46050</v>
      </c>
      <c r="I17" s="45">
        <f>'Tabla general'!I119</f>
        <v>2.93</v>
      </c>
      <c r="J17" s="45">
        <f>'Tabla general'!J119</f>
        <v>15.6</v>
      </c>
      <c r="K17" s="45">
        <f>'Tabla general'!K119*0.49</f>
        <v>8.5063999999999993</v>
      </c>
      <c r="L17" s="45">
        <f>'Tabla general'!L119*1.53</f>
        <v>13.014792</v>
      </c>
      <c r="M17" s="60">
        <f>'Tabla general'!N119/'Tabla general'!O119</f>
        <v>1.3215000000000001</v>
      </c>
    </row>
    <row r="18" spans="1:13">
      <c r="A18" s="84" t="str">
        <f>'Tabla general'!A120</f>
        <v>CH26QAGC45-H15-4</v>
      </c>
      <c r="B18" s="45" t="str">
        <f>'Tabla general'!B120</f>
        <v>Chardonnay</v>
      </c>
      <c r="C18" s="45" t="str">
        <f>'Tabla general'!C120</f>
        <v>Maule</v>
      </c>
      <c r="D18" s="45" t="str">
        <f>'Tabla general'!D120</f>
        <v>QUEBRADA DE AGUA</v>
      </c>
      <c r="E18" s="45">
        <f>'Tabla general'!E120</f>
        <v>45</v>
      </c>
      <c r="F18" s="45">
        <f>'Tabla general'!F120</f>
        <v>15</v>
      </c>
      <c r="G18" s="45" t="str">
        <f>'Tabla general'!G120</f>
        <v>4</v>
      </c>
      <c r="H18" s="59">
        <f>'Tabla general'!H120</f>
        <v>46058</v>
      </c>
      <c r="I18" s="45">
        <f>'Tabla general'!I120</f>
        <v>3.06</v>
      </c>
      <c r="J18" s="45">
        <f>'Tabla general'!J120</f>
        <v>18.3</v>
      </c>
      <c r="K18" s="45">
        <f>'Tabla general'!K120*0.49</f>
        <v>6.5366</v>
      </c>
      <c r="L18" s="45">
        <f>'Tabla general'!L120*1.53</f>
        <v>10.000998000000001</v>
      </c>
      <c r="M18" s="60">
        <f>'Tabla general'!N120/'Tabla general'!O120</f>
        <v>1.5930000000000002</v>
      </c>
    </row>
    <row r="19" spans="1:13">
      <c r="A19" s="84" t="str">
        <f>'Tabla general'!A121</f>
        <v>CH26QAGC45-H15-5</v>
      </c>
      <c r="B19" s="45" t="str">
        <f>'Tabla general'!B121</f>
        <v>Chardonnay</v>
      </c>
      <c r="C19" s="45" t="str">
        <f>'Tabla general'!C121</f>
        <v>Maule</v>
      </c>
      <c r="D19" s="45" t="str">
        <f>'Tabla general'!D121</f>
        <v>QUEBRADA DE AGUA</v>
      </c>
      <c r="E19" s="45">
        <f>'Tabla general'!E121</f>
        <v>45</v>
      </c>
      <c r="F19" s="45">
        <f>'Tabla general'!F121</f>
        <v>15</v>
      </c>
      <c r="G19" s="45" t="str">
        <f>'Tabla general'!G121</f>
        <v>5</v>
      </c>
      <c r="H19" s="59">
        <f>'Tabla general'!H121</f>
        <v>46065</v>
      </c>
      <c r="I19" s="45">
        <f>'Tabla general'!I121</f>
        <v>3.11</v>
      </c>
      <c r="J19" s="45">
        <f>'Tabla general'!J121</f>
        <v>19.8</v>
      </c>
      <c r="K19" s="45">
        <f>'Tabla general'!K121*0.49</f>
        <v>5.7721999999999998</v>
      </c>
      <c r="L19" s="45">
        <f>'Tabla general'!L121*1.53</f>
        <v>8.8314659999999989</v>
      </c>
      <c r="M19" s="60">
        <f>'Tabla general'!N121/'Tabla general'!O121</f>
        <v>1.6</v>
      </c>
    </row>
    <row r="20" spans="1:13">
      <c r="A20" s="84" t="str">
        <f>'Tabla general'!A122</f>
        <v>CH26QAGC45-H15-6</v>
      </c>
      <c r="B20" s="45" t="str">
        <f>'Tabla general'!B122</f>
        <v>Chardonnay</v>
      </c>
      <c r="C20" s="45" t="str">
        <f>'Tabla general'!C122</f>
        <v>Maule</v>
      </c>
      <c r="D20" s="45" t="str">
        <f>'Tabla general'!D122</f>
        <v>QUEBRADA DE AGUA</v>
      </c>
      <c r="E20" s="45">
        <f>'Tabla general'!E122</f>
        <v>45</v>
      </c>
      <c r="F20" s="45">
        <f>'Tabla general'!F122</f>
        <v>15</v>
      </c>
      <c r="G20" s="45" t="str">
        <f>'Tabla general'!G122</f>
        <v>6</v>
      </c>
      <c r="H20" s="59">
        <f>'Tabla general'!H122</f>
        <v>46071</v>
      </c>
      <c r="I20" s="45">
        <f>'Tabla general'!I122</f>
        <v>3.22</v>
      </c>
      <c r="J20" s="45">
        <f>'Tabla general'!J122</f>
        <v>21.2</v>
      </c>
      <c r="K20" s="45">
        <f>'Tabla general'!K122*0.49</f>
        <v>5.0470000000000006</v>
      </c>
      <c r="L20" s="45">
        <f>'Tabla general'!L122*1.53</f>
        <v>7.7219100000000012</v>
      </c>
      <c r="M20" s="60">
        <f>'Tabla general'!N122/'Tabla general'!O122</f>
        <v>1.64</v>
      </c>
    </row>
    <row r="21" spans="1:13">
      <c r="A21" s="84" t="str">
        <f>'Tabla general'!A123</f>
        <v>CH26QAGC45-H15-7</v>
      </c>
      <c r="B21" s="45" t="str">
        <f>'Tabla general'!B123</f>
        <v>Chardonnay</v>
      </c>
      <c r="C21" s="45" t="str">
        <f>'Tabla general'!C123</f>
        <v>Maule</v>
      </c>
      <c r="D21" s="45" t="str">
        <f>'Tabla general'!D123</f>
        <v>QUEBRADA DE AGUA</v>
      </c>
      <c r="E21" s="45">
        <f>'Tabla general'!E123</f>
        <v>45</v>
      </c>
      <c r="F21" s="45">
        <f>'Tabla general'!F123</f>
        <v>15</v>
      </c>
      <c r="G21" s="45" t="str">
        <f>'Tabla general'!G123</f>
        <v>7</v>
      </c>
      <c r="H21" s="59">
        <f>'Tabla general'!H123</f>
        <v>46079</v>
      </c>
      <c r="I21" s="45">
        <f>'Tabla general'!I123</f>
        <v>3.23</v>
      </c>
      <c r="J21" s="45">
        <f>'Tabla general'!J123</f>
        <v>23.8</v>
      </c>
      <c r="K21" s="45">
        <f>'Tabla general'!K123*0.49</f>
        <v>4.6942000000000004</v>
      </c>
      <c r="L21" s="45">
        <f>'Tabla general'!L123*1.53</f>
        <v>7.1821260000000011</v>
      </c>
      <c r="M21" s="60">
        <f>'Tabla general'!N123/'Tabla general'!O123</f>
        <v>1.6605000000000001</v>
      </c>
    </row>
    <row r="22" spans="1:13">
      <c r="A22" s="84" t="str">
        <f>'Tabla general'!A124</f>
        <v>CH26QAGC45-H15-8</v>
      </c>
      <c r="B22" s="45" t="str">
        <f>'Tabla general'!B124</f>
        <v>Chardonnay</v>
      </c>
      <c r="C22" s="45" t="str">
        <f>'Tabla general'!C124</f>
        <v>Maule</v>
      </c>
      <c r="D22" s="45" t="str">
        <f>'Tabla general'!D124</f>
        <v>QUEBRADA DE AGUA</v>
      </c>
      <c r="E22" s="45">
        <f>'Tabla general'!E124</f>
        <v>45</v>
      </c>
      <c r="F22" s="45">
        <f>'Tabla general'!F124</f>
        <v>15</v>
      </c>
      <c r="G22" s="45" t="str">
        <f>'Tabla general'!G124</f>
        <v>8</v>
      </c>
      <c r="H22" s="59">
        <f>'Tabla general'!H124</f>
        <v>46086</v>
      </c>
      <c r="I22" s="45">
        <f>'Tabla general'!I124</f>
        <v>3.26</v>
      </c>
      <c r="J22" s="45">
        <f>'Tabla general'!J124</f>
        <v>23.9</v>
      </c>
      <c r="K22" s="45">
        <f>'Tabla general'!K124*0.49</f>
        <v>4.3805999999999994</v>
      </c>
      <c r="L22" s="45">
        <f>'Tabla general'!L124*1.53</f>
        <v>6.7023179999999991</v>
      </c>
      <c r="M22" s="60">
        <f>'Tabla general'!N124/'Tabla general'!O124</f>
        <v>1.712</v>
      </c>
    </row>
    <row r="23" spans="1:13">
      <c r="A23" s="84" t="str">
        <f>'Tabla general'!A125</f>
        <v>CH26QAGC45-H15-9</v>
      </c>
      <c r="B23" s="45" t="str">
        <f>'Tabla general'!B125</f>
        <v>Chardonnay</v>
      </c>
      <c r="C23" s="45" t="str">
        <f>'Tabla general'!C125</f>
        <v>Maule</v>
      </c>
      <c r="D23" s="45" t="str">
        <f>'Tabla general'!D125</f>
        <v>QUEBRADA DE AGUA</v>
      </c>
      <c r="E23" s="45">
        <f>'Tabla general'!E125</f>
        <v>45</v>
      </c>
      <c r="F23" s="45">
        <f>'Tabla general'!F125</f>
        <v>15</v>
      </c>
      <c r="G23" s="45" t="str">
        <f>'Tabla general'!G125</f>
        <v>9</v>
      </c>
      <c r="H23" s="59">
        <f>'Tabla general'!H125</f>
        <v>46093</v>
      </c>
      <c r="I23" s="45">
        <f>'Tabla general'!I125</f>
        <v>3.22</v>
      </c>
      <c r="J23" s="45">
        <f>'Tabla general'!J125</f>
        <v>25.4</v>
      </c>
      <c r="K23" s="45">
        <f>'Tabla general'!K125*0.49</f>
        <v>4.2826000000000004</v>
      </c>
      <c r="L23" s="45">
        <f>'Tabla general'!L125*1.53</f>
        <v>6.5523780000000009</v>
      </c>
      <c r="M23" s="60">
        <f>'Tabla general'!N125/'Tabla general'!O125</f>
        <v>1.6759999999999999</v>
      </c>
    </row>
    <row r="24" spans="1:13">
      <c r="A24" s="84" t="str">
        <f>'Tabla general'!A126</f>
        <v>CH26QAGC45-H15-10</v>
      </c>
      <c r="B24" s="45" t="str">
        <f>'Tabla general'!B126</f>
        <v>Chardonnay</v>
      </c>
      <c r="C24" s="45" t="str">
        <f>'Tabla general'!C126</f>
        <v>Maule</v>
      </c>
      <c r="D24" s="45" t="str">
        <f>'Tabla general'!D126</f>
        <v>QUEBRADA DE AGUA</v>
      </c>
      <c r="E24" s="45">
        <f>'Tabla general'!E126</f>
        <v>45</v>
      </c>
      <c r="F24" s="45">
        <f>'Tabla general'!F126</f>
        <v>15</v>
      </c>
      <c r="G24" s="45" t="str">
        <f>'Tabla general'!G126</f>
        <v>10</v>
      </c>
      <c r="H24" s="59">
        <f>'Tabla general'!H126</f>
        <v>46108</v>
      </c>
      <c r="I24" s="45">
        <f>'Tabla general'!I126</f>
        <v>3.21</v>
      </c>
      <c r="J24" s="45">
        <f>'Tabla general'!J126</f>
        <v>25.7</v>
      </c>
      <c r="K24" s="45">
        <f>'Tabla general'!K126*0.49</f>
        <v>3.9738999999999995</v>
      </c>
      <c r="L24" s="45">
        <f>'Tabla general'!L126*1.53</f>
        <v>6.0800669999999997</v>
      </c>
      <c r="M24" s="60">
        <f>'Tabla general'!N126/'Tabla general'!O126</f>
        <v>1.4980000000000002</v>
      </c>
    </row>
    <row r="25" spans="1:13">
      <c r="A25" s="84" t="str">
        <f>'Tabla general'!A127</f>
        <v>CH26QAGC45-H15-11</v>
      </c>
      <c r="B25" s="45" t="str">
        <f>'Tabla general'!B127</f>
        <v>Chardonnay</v>
      </c>
      <c r="C25" s="45" t="str">
        <f>'Tabla general'!C127</f>
        <v>Maule</v>
      </c>
      <c r="D25" s="45" t="str">
        <f>'Tabla general'!D127</f>
        <v>QUEBRADA DE AGUA</v>
      </c>
      <c r="E25" s="45">
        <f>'Tabla general'!E127</f>
        <v>45</v>
      </c>
      <c r="F25" s="45">
        <f>'Tabla general'!F127</f>
        <v>15</v>
      </c>
      <c r="G25" s="45" t="str">
        <f>'Tabla general'!G127</f>
        <v>11</v>
      </c>
      <c r="H25" s="59">
        <f>'Tabla general'!H127</f>
        <v>46114</v>
      </c>
      <c r="I25" s="45">
        <f>'Tabla general'!I127</f>
        <v>3.18</v>
      </c>
      <c r="J25" s="45">
        <f>'Tabla general'!J127</f>
        <v>25.6</v>
      </c>
      <c r="K25" s="45">
        <f>'Tabla general'!K127*0.49</f>
        <v>4.2629999999999999</v>
      </c>
      <c r="L25" s="45">
        <f>'Tabla general'!L127*1.53</f>
        <v>6.5223899999999997</v>
      </c>
      <c r="M25" s="60">
        <f>'Tabla general'!N127/'Tabla general'!O127</f>
        <v>1.5985</v>
      </c>
    </row>
    <row r="26" spans="1:13">
      <c r="A26" s="84" t="str">
        <f>'Tabla general'!A128</f>
        <v>CH26QAGC45-H15-12</v>
      </c>
      <c r="B26" s="45" t="str">
        <f>'Tabla general'!B128</f>
        <v>Chardonnay</v>
      </c>
      <c r="C26" s="45" t="str">
        <f>'Tabla general'!C128</f>
        <v>Maule</v>
      </c>
      <c r="D26" s="45" t="str">
        <f>'Tabla general'!D128</f>
        <v>QUEBRADA DE AGUA</v>
      </c>
      <c r="E26" s="45">
        <f>'Tabla general'!E128</f>
        <v>45</v>
      </c>
      <c r="F26" s="45">
        <f>'Tabla general'!F128</f>
        <v>15</v>
      </c>
      <c r="G26" s="45">
        <f>'Tabla general'!G128</f>
        <v>12</v>
      </c>
      <c r="H26" s="59">
        <f>'Tabla general'!H128</f>
        <v>46121</v>
      </c>
      <c r="I26" s="45">
        <f>'Tabla general'!I128</f>
        <v>3.29</v>
      </c>
      <c r="J26" s="45">
        <f>'Tabla general'!J128</f>
        <v>26</v>
      </c>
      <c r="K26" s="45">
        <f>'Tabla general'!K128*0.49</f>
        <v>3.9445000000000001</v>
      </c>
      <c r="L26" s="45">
        <f>'Tabla general'!L128*1.53</f>
        <v>6.0350850000000005</v>
      </c>
      <c r="M26" s="60">
        <f>'Tabla general'!N128/'Tabla general'!O128</f>
        <v>1.4744999999999999</v>
      </c>
    </row>
    <row r="27" spans="1:13">
      <c r="A27" s="85" t="str">
        <f>'Tabla general'!A129</f>
        <v>CH26QAGC45-H15-13</v>
      </c>
      <c r="B27" s="65" t="str">
        <f>'Tabla general'!B129</f>
        <v>Chardonnay</v>
      </c>
      <c r="C27" s="65" t="str">
        <f>'Tabla general'!C129</f>
        <v>Maule</v>
      </c>
      <c r="D27" s="65" t="str">
        <f>'Tabla general'!D129</f>
        <v>QUEBRADA DE AGUA</v>
      </c>
      <c r="E27" s="65">
        <f>'Tabla general'!E129</f>
        <v>45</v>
      </c>
      <c r="F27" s="65">
        <f>'Tabla general'!F129</f>
        <v>15</v>
      </c>
      <c r="G27" s="65">
        <f>'Tabla general'!G129</f>
        <v>13</v>
      </c>
      <c r="H27" s="66">
        <f>'Tabla general'!H129</f>
        <v>46128</v>
      </c>
      <c r="I27" s="65">
        <f>'Tabla general'!I129</f>
        <v>3.34</v>
      </c>
      <c r="J27" s="65">
        <f>'Tabla general'!J129</f>
        <v>25.9</v>
      </c>
      <c r="K27" s="65">
        <f>'Tabla general'!K129*0.49</f>
        <v>4.0130999999999997</v>
      </c>
      <c r="L27" s="65">
        <f>'Tabla general'!L129*1.53</f>
        <v>6.1400429999999995</v>
      </c>
      <c r="M27" s="67">
        <f>'Tabla general'!N129/'Tabla general'!O129</f>
        <v>1.6555000000000002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F6A1-3657-463C-84B3-FCDA11D1D841}">
  <dimension ref="A2:M27"/>
  <sheetViews>
    <sheetView topLeftCell="A5" workbookViewId="0">
      <selection activeCell="A20" sqref="A20:M21"/>
    </sheetView>
  </sheetViews>
  <sheetFormatPr defaultColWidth="8.85546875" defaultRowHeight="14.45"/>
  <cols>
    <col min="1" max="1" width="18.85546875" bestFit="1" customWidth="1"/>
    <col min="2" max="2" width="11.5703125" bestFit="1" customWidth="1"/>
    <col min="4" max="4" width="13.4257812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46">
        <v>2025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51" t="s">
        <v>0</v>
      </c>
      <c r="B3" s="52" t="s">
        <v>1</v>
      </c>
      <c r="C3" s="52" t="s">
        <v>2</v>
      </c>
      <c r="D3" s="53" t="s">
        <v>3</v>
      </c>
      <c r="E3" s="53" t="s">
        <v>4</v>
      </c>
      <c r="F3" s="53" t="s">
        <v>5</v>
      </c>
      <c r="G3" s="53" t="s">
        <v>236</v>
      </c>
      <c r="H3" s="55" t="s">
        <v>7</v>
      </c>
      <c r="I3" s="53" t="s">
        <v>8</v>
      </c>
      <c r="J3" s="53" t="s">
        <v>9</v>
      </c>
      <c r="K3" s="53" t="s">
        <v>11</v>
      </c>
      <c r="L3" s="53" t="s">
        <v>12</v>
      </c>
      <c r="M3" s="56" t="s">
        <v>15</v>
      </c>
    </row>
    <row r="4" spans="1:13">
      <c r="A4" s="88" t="s">
        <v>327</v>
      </c>
      <c r="B4" s="5" t="s">
        <v>17</v>
      </c>
      <c r="C4" s="5" t="s">
        <v>138</v>
      </c>
      <c r="D4" s="3" t="s">
        <v>139</v>
      </c>
      <c r="E4" s="3">
        <v>25</v>
      </c>
      <c r="F4" s="3">
        <v>1</v>
      </c>
      <c r="G4" s="3" t="str">
        <f t="shared" ref="G4:G11" si="0">_xlfn.TEXTAFTER(A4, "-", 2)</f>
        <v>1</v>
      </c>
      <c r="H4" s="102">
        <v>45685</v>
      </c>
      <c r="I4" s="3">
        <v>2.89</v>
      </c>
      <c r="J4" s="3">
        <v>16.100000000000001</v>
      </c>
      <c r="K4" s="3">
        <v>11.4366</v>
      </c>
      <c r="L4" s="3">
        <v>17.488</v>
      </c>
      <c r="M4" s="49">
        <v>1.49</v>
      </c>
    </row>
    <row r="5" spans="1:13">
      <c r="A5" s="104" t="s">
        <v>328</v>
      </c>
      <c r="B5" s="5" t="s">
        <v>17</v>
      </c>
      <c r="C5" s="5" t="s">
        <v>138</v>
      </c>
      <c r="D5" s="3" t="s">
        <v>139</v>
      </c>
      <c r="E5" s="3">
        <v>25</v>
      </c>
      <c r="F5" s="3">
        <v>1</v>
      </c>
      <c r="G5" s="3" t="str">
        <f t="shared" si="0"/>
        <v>2</v>
      </c>
      <c r="H5" s="102">
        <v>45693</v>
      </c>
      <c r="I5" s="3">
        <v>2.78</v>
      </c>
      <c r="J5" s="3">
        <v>16.399999999999999</v>
      </c>
      <c r="K5" s="3">
        <v>11.191599999999999</v>
      </c>
      <c r="L5" s="3">
        <v>17.123100000000001</v>
      </c>
      <c r="M5" s="49">
        <v>1.41</v>
      </c>
    </row>
    <row r="6" spans="1:13">
      <c r="A6" s="104" t="s">
        <v>329</v>
      </c>
      <c r="B6" s="5" t="s">
        <v>17</v>
      </c>
      <c r="C6" s="5" t="s">
        <v>138</v>
      </c>
      <c r="D6" s="3" t="s">
        <v>139</v>
      </c>
      <c r="E6" s="3">
        <v>25</v>
      </c>
      <c r="F6" s="3">
        <v>1</v>
      </c>
      <c r="G6" s="3" t="str">
        <f t="shared" si="0"/>
        <v>3</v>
      </c>
      <c r="H6" s="102">
        <v>45699</v>
      </c>
      <c r="I6" s="3">
        <v>3.04</v>
      </c>
      <c r="J6" s="3">
        <v>19.2</v>
      </c>
      <c r="K6" s="3">
        <v>8.2417999999999996</v>
      </c>
      <c r="L6" s="3">
        <v>12.6099</v>
      </c>
      <c r="M6" s="49" t="s">
        <v>330</v>
      </c>
    </row>
    <row r="7" spans="1:13">
      <c r="A7" s="104" t="s">
        <v>331</v>
      </c>
      <c r="B7" s="5" t="s">
        <v>17</v>
      </c>
      <c r="C7" s="5" t="s">
        <v>138</v>
      </c>
      <c r="D7" s="3" t="s">
        <v>139</v>
      </c>
      <c r="E7" s="3">
        <v>25</v>
      </c>
      <c r="F7" s="3">
        <v>1</v>
      </c>
      <c r="G7" s="3" t="str">
        <f t="shared" si="0"/>
        <v>4</v>
      </c>
      <c r="H7" s="102">
        <v>45707</v>
      </c>
      <c r="I7" s="3">
        <v>3.16</v>
      </c>
      <c r="J7" s="3">
        <v>21.5</v>
      </c>
      <c r="K7" s="3">
        <v>6.9972000000000003</v>
      </c>
      <c r="L7" s="3">
        <v>10.7057</v>
      </c>
      <c r="M7" s="49">
        <v>1.58</v>
      </c>
    </row>
    <row r="8" spans="1:13">
      <c r="A8" s="88" t="s">
        <v>332</v>
      </c>
      <c r="B8" s="5" t="s">
        <v>17</v>
      </c>
      <c r="C8" s="5" t="s">
        <v>138</v>
      </c>
      <c r="D8" s="3" t="s">
        <v>139</v>
      </c>
      <c r="E8" s="3">
        <v>25</v>
      </c>
      <c r="F8" s="3">
        <v>1</v>
      </c>
      <c r="G8" s="3" t="str">
        <f t="shared" si="0"/>
        <v>5</v>
      </c>
      <c r="H8" s="102">
        <v>45715</v>
      </c>
      <c r="I8" s="3">
        <v>3.17</v>
      </c>
      <c r="J8" s="3">
        <v>22.7</v>
      </c>
      <c r="K8" s="3">
        <v>6.2328000000000001</v>
      </c>
      <c r="L8" s="3">
        <v>9.5361999999999991</v>
      </c>
      <c r="M8" s="49">
        <v>1.53</v>
      </c>
    </row>
    <row r="9" spans="1:13">
      <c r="A9" s="88" t="s">
        <v>333</v>
      </c>
      <c r="B9" s="5" t="s">
        <v>17</v>
      </c>
      <c r="C9" s="5" t="s">
        <v>138</v>
      </c>
      <c r="D9" s="3" t="s">
        <v>139</v>
      </c>
      <c r="E9" s="3">
        <v>25</v>
      </c>
      <c r="F9" s="3">
        <v>1</v>
      </c>
      <c r="G9" s="3" t="str">
        <f t="shared" si="0"/>
        <v>6</v>
      </c>
      <c r="H9" s="102" t="s">
        <v>298</v>
      </c>
      <c r="I9" s="3">
        <v>3.31</v>
      </c>
      <c r="J9" s="3">
        <v>23.2</v>
      </c>
      <c r="K9" s="3">
        <v>5.8212000000000002</v>
      </c>
      <c r="L9" s="3">
        <v>8.9063999999999997</v>
      </c>
      <c r="M9" s="49">
        <v>1.79</v>
      </c>
    </row>
    <row r="10" spans="1:13">
      <c r="A10" s="88" t="s">
        <v>334</v>
      </c>
      <c r="B10" s="5" t="s">
        <v>17</v>
      </c>
      <c r="C10" s="5" t="s">
        <v>138</v>
      </c>
      <c r="D10" s="3" t="s">
        <v>139</v>
      </c>
      <c r="E10" s="3">
        <v>25</v>
      </c>
      <c r="F10" s="3">
        <v>1</v>
      </c>
      <c r="G10" s="3" t="str">
        <f t="shared" si="0"/>
        <v>7</v>
      </c>
      <c r="H10" s="102">
        <v>45726</v>
      </c>
      <c r="I10" s="3">
        <v>3.33</v>
      </c>
      <c r="J10" s="3">
        <v>24.2</v>
      </c>
      <c r="K10" s="3">
        <v>5.3507999999999996</v>
      </c>
      <c r="L10" s="3">
        <v>8.1867000000000001</v>
      </c>
      <c r="M10" s="49">
        <v>1.7</v>
      </c>
    </row>
    <row r="11" spans="1:13">
      <c r="A11" s="89" t="s">
        <v>335</v>
      </c>
      <c r="B11" s="106" t="s">
        <v>17</v>
      </c>
      <c r="C11" s="106" t="s">
        <v>138</v>
      </c>
      <c r="D11" s="12" t="s">
        <v>139</v>
      </c>
      <c r="E11" s="12">
        <v>25</v>
      </c>
      <c r="F11" s="12">
        <v>1</v>
      </c>
      <c r="G11" s="12" t="str">
        <f t="shared" si="0"/>
        <v>8</v>
      </c>
      <c r="H11" s="107">
        <v>45733</v>
      </c>
      <c r="I11" s="12">
        <v>3.43</v>
      </c>
      <c r="J11" s="12">
        <v>24.9</v>
      </c>
      <c r="K11" s="12">
        <v>5.3067000000000002</v>
      </c>
      <c r="L11" s="12">
        <v>8.1193000000000008</v>
      </c>
      <c r="M11" s="50">
        <v>1.66</v>
      </c>
    </row>
    <row r="13" spans="1:13">
      <c r="A13" s="46">
        <v>2026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79" t="s">
        <v>0</v>
      </c>
      <c r="B14" s="47" t="s">
        <v>1</v>
      </c>
      <c r="C14" s="47" t="s">
        <v>2</v>
      </c>
      <c r="D14" s="80" t="s">
        <v>3</v>
      </c>
      <c r="E14" s="80" t="s">
        <v>4</v>
      </c>
      <c r="F14" s="80" t="s">
        <v>5</v>
      </c>
      <c r="G14" s="80" t="s">
        <v>236</v>
      </c>
      <c r="H14" s="81" t="s">
        <v>7</v>
      </c>
      <c r="I14" s="80" t="s">
        <v>8</v>
      </c>
      <c r="J14" s="80" t="s">
        <v>9</v>
      </c>
      <c r="K14" s="80" t="s">
        <v>11</v>
      </c>
      <c r="L14" s="80" t="s">
        <v>12</v>
      </c>
      <c r="M14" s="82" t="s">
        <v>15</v>
      </c>
    </row>
    <row r="15" spans="1:13">
      <c r="A15" s="86" t="str">
        <f>'Tabla general'!A131</f>
        <v>CH26ISAC25-H1-1</v>
      </c>
      <c r="B15" s="8" t="str">
        <f>'Tabla general'!B131</f>
        <v>Chardonnay</v>
      </c>
      <c r="C15" s="8" t="str">
        <f>'Tabla general'!C131</f>
        <v>Maipo</v>
      </c>
      <c r="D15" s="8" t="str">
        <f>'Tabla general'!D131</f>
        <v>SANTA ISABEL</v>
      </c>
      <c r="E15" s="8">
        <f>'Tabla general'!E131</f>
        <v>25</v>
      </c>
      <c r="F15" s="8">
        <f>'Tabla general'!F131</f>
        <v>1</v>
      </c>
      <c r="G15" s="8" t="str">
        <f>'Tabla general'!G131</f>
        <v>1</v>
      </c>
      <c r="H15" s="103">
        <f>'Tabla general'!H131</f>
        <v>46042</v>
      </c>
      <c r="I15" s="8">
        <f>'Tabla general'!I131</f>
        <v>2.75</v>
      </c>
      <c r="J15" s="8">
        <f>'Tabla general'!J131</f>
        <v>12</v>
      </c>
      <c r="K15" s="8">
        <f>'Tabla general'!K131*0.49</f>
        <v>15.7486</v>
      </c>
      <c r="L15" s="8">
        <f>'Tabla general'!L131*1.53</f>
        <v>24.095358000000001</v>
      </c>
      <c r="M15" s="87">
        <f>'Tabla general'!N131/'Tabla general'!O131</f>
        <v>1.1262999999999999</v>
      </c>
    </row>
    <row r="16" spans="1:13">
      <c r="A16" s="88" t="str">
        <f>'Tabla general'!A132</f>
        <v>CH26ISAC25-H1-2</v>
      </c>
      <c r="B16" s="3" t="str">
        <f>'Tabla general'!B132</f>
        <v>Chardonnay</v>
      </c>
      <c r="C16" s="3" t="str">
        <f>'Tabla general'!C132</f>
        <v>Maipo</v>
      </c>
      <c r="D16" s="3" t="str">
        <f>'Tabla general'!D132</f>
        <v>SANTA ISABEL</v>
      </c>
      <c r="E16" s="3">
        <f>'Tabla general'!E132</f>
        <v>25</v>
      </c>
      <c r="F16" s="3">
        <f>'Tabla general'!F132</f>
        <v>1</v>
      </c>
      <c r="G16" s="3" t="str">
        <f>'Tabla general'!G132</f>
        <v>2</v>
      </c>
      <c r="H16" s="102">
        <f>'Tabla general'!H132</f>
        <v>46048</v>
      </c>
      <c r="I16" s="3">
        <f>'Tabla general'!I132</f>
        <v>2.93</v>
      </c>
      <c r="J16" s="3">
        <f>'Tabla general'!J132</f>
        <v>14.3</v>
      </c>
      <c r="K16" s="3">
        <f>'Tabla general'!K132*0.49</f>
        <v>12.0932</v>
      </c>
      <c r="L16" s="3">
        <f>'Tabla general'!L132*1.53</f>
        <v>18.502596</v>
      </c>
      <c r="M16" s="49">
        <f>'Tabla general'!N132/'Tabla general'!O132</f>
        <v>1.3056000000000001</v>
      </c>
    </row>
    <row r="17" spans="1:13">
      <c r="A17" s="88" t="str">
        <f>'Tabla general'!A133</f>
        <v>CH26ISAC25-H1-3</v>
      </c>
      <c r="B17" s="3" t="str">
        <f>'Tabla general'!B133</f>
        <v>Chardonnay</v>
      </c>
      <c r="C17" s="3" t="str">
        <f>'Tabla general'!C133</f>
        <v>Maipo</v>
      </c>
      <c r="D17" s="3" t="str">
        <f>'Tabla general'!D133</f>
        <v>SANTA ISABEL</v>
      </c>
      <c r="E17" s="3">
        <f>'Tabla general'!E133</f>
        <v>25</v>
      </c>
      <c r="F17" s="3">
        <f>'Tabla general'!F133</f>
        <v>1</v>
      </c>
      <c r="G17" s="3" t="str">
        <f>'Tabla general'!G133</f>
        <v>3</v>
      </c>
      <c r="H17" s="102">
        <f>'Tabla general'!H133</f>
        <v>46055</v>
      </c>
      <c r="I17" s="3">
        <f>'Tabla general'!I133</f>
        <v>3.07</v>
      </c>
      <c r="J17" s="3">
        <f>'Tabla general'!J133</f>
        <v>16.8</v>
      </c>
      <c r="K17" s="3">
        <f>'Tabla general'!K133*0.49</f>
        <v>9.4275999999999982</v>
      </c>
      <c r="L17" s="3">
        <f>'Tabla general'!L133*1.53</f>
        <v>14.424227999999998</v>
      </c>
      <c r="M17" s="49">
        <f>'Tabla general'!N133/'Tabla general'!O133</f>
        <v>1.4240999999999999</v>
      </c>
    </row>
    <row r="18" spans="1:13">
      <c r="A18" s="88" t="str">
        <f>'Tabla general'!A134</f>
        <v>CH26ISAC25-H1-4</v>
      </c>
      <c r="B18" s="3" t="str">
        <f>'Tabla general'!B134</f>
        <v>Chardonnay</v>
      </c>
      <c r="C18" s="3" t="str">
        <f>'Tabla general'!C134</f>
        <v>Maipo</v>
      </c>
      <c r="D18" s="3" t="str">
        <f>'Tabla general'!D134</f>
        <v>SANTA ISABEL</v>
      </c>
      <c r="E18" s="3">
        <f>'Tabla general'!E134</f>
        <v>25</v>
      </c>
      <c r="F18" s="3">
        <f>'Tabla general'!F134</f>
        <v>1</v>
      </c>
      <c r="G18" s="3" t="str">
        <f>'Tabla general'!G134</f>
        <v>4</v>
      </c>
      <c r="H18" s="102">
        <f>'Tabla general'!H134</f>
        <v>46062</v>
      </c>
      <c r="I18" s="3">
        <f>'Tabla general'!I134</f>
        <v>3.1</v>
      </c>
      <c r="J18" s="3">
        <f>'Tabla general'!J134</f>
        <v>18.7</v>
      </c>
      <c r="K18" s="3">
        <f>'Tabla general'!K134*0.49</f>
        <v>8.0066000000000006</v>
      </c>
      <c r="L18" s="3">
        <f>'Tabla general'!L134*1.53</f>
        <v>12.250098000000001</v>
      </c>
      <c r="M18" s="49">
        <f>'Tabla general'!N134/'Tabla general'!O134</f>
        <v>1.601</v>
      </c>
    </row>
    <row r="19" spans="1:13">
      <c r="A19" s="88" t="str">
        <f>'Tabla general'!A135</f>
        <v>CH26ISAC25-H1-5</v>
      </c>
      <c r="B19" s="3" t="str">
        <f>'Tabla general'!B135</f>
        <v>Chardonnay</v>
      </c>
      <c r="C19" s="3" t="str">
        <f>'Tabla general'!C135</f>
        <v>Maipo</v>
      </c>
      <c r="D19" s="3" t="str">
        <f>'Tabla general'!D135</f>
        <v>SANTA ISABEL</v>
      </c>
      <c r="E19" s="3">
        <f>'Tabla general'!E135</f>
        <v>25</v>
      </c>
      <c r="F19" s="3">
        <f>'Tabla general'!F135</f>
        <v>1</v>
      </c>
      <c r="G19" s="3" t="str">
        <f>'Tabla general'!G135</f>
        <v>5</v>
      </c>
      <c r="H19" s="102">
        <f>'Tabla general'!H135</f>
        <v>46069</v>
      </c>
      <c r="I19" s="3">
        <f>'Tabla general'!I135</f>
        <v>3.12</v>
      </c>
      <c r="J19" s="3">
        <f>'Tabla general'!J135</f>
        <v>19.899999999999999</v>
      </c>
      <c r="K19" s="3">
        <f>'Tabla general'!K135*0.49</f>
        <v>6.8991999999999996</v>
      </c>
      <c r="L19" s="3">
        <f>'Tabla general'!L135*1.53</f>
        <v>10.555776</v>
      </c>
      <c r="M19" s="49">
        <f>'Tabla general'!N135/'Tabla general'!O135</f>
        <v>1.6335</v>
      </c>
    </row>
    <row r="20" spans="1:13">
      <c r="A20" s="88" t="str">
        <f>'Tabla general'!A136</f>
        <v>CH26ISAC25-H1-6</v>
      </c>
      <c r="B20" s="3" t="str">
        <f>'Tabla general'!B136</f>
        <v>Chardonnay</v>
      </c>
      <c r="C20" s="3" t="str">
        <f>'Tabla general'!C136</f>
        <v>Maipo</v>
      </c>
      <c r="D20" s="3" t="str">
        <f>'Tabla general'!D136</f>
        <v>SANTA ISABEL</v>
      </c>
      <c r="E20" s="3">
        <f>'Tabla general'!E136</f>
        <v>25</v>
      </c>
      <c r="F20" s="3">
        <f>'Tabla general'!F136</f>
        <v>1</v>
      </c>
      <c r="G20" s="3" t="str">
        <f>'Tabla general'!G136</f>
        <v>6</v>
      </c>
      <c r="H20" s="102">
        <f>'Tabla general'!H136</f>
        <v>46076</v>
      </c>
      <c r="I20" s="3">
        <f>'Tabla general'!I136</f>
        <v>3.25</v>
      </c>
      <c r="J20" s="3">
        <f>'Tabla general'!J136</f>
        <v>21.5</v>
      </c>
      <c r="K20" s="3">
        <f>'Tabla general'!K136*0.49</f>
        <v>5.8604000000000003</v>
      </c>
      <c r="L20" s="3">
        <f>'Tabla general'!L136*1.53</f>
        <v>8.966412</v>
      </c>
      <c r="M20" s="49">
        <f>'Tabla general'!N136/'Tabla general'!O136</f>
        <v>1.4869999999999999</v>
      </c>
    </row>
    <row r="21" spans="1:13">
      <c r="A21" s="88" t="str">
        <f>'Tabla general'!A137</f>
        <v>CH26ISAC25-H1-7</v>
      </c>
      <c r="B21" s="3" t="str">
        <f>'Tabla general'!B137</f>
        <v>Chardonnay</v>
      </c>
      <c r="C21" s="3" t="str">
        <f>'Tabla general'!C137</f>
        <v>Maipo</v>
      </c>
      <c r="D21" s="3" t="str">
        <f>'Tabla general'!D137</f>
        <v>SANTA ISABEL</v>
      </c>
      <c r="E21" s="3">
        <f>'Tabla general'!E137</f>
        <v>25</v>
      </c>
      <c r="F21" s="3">
        <f>'Tabla general'!F137</f>
        <v>1</v>
      </c>
      <c r="G21" s="3" t="str">
        <f>'Tabla general'!G137</f>
        <v>7</v>
      </c>
      <c r="H21" s="102">
        <f>'Tabla general'!H137</f>
        <v>46083</v>
      </c>
      <c r="I21" s="3">
        <f>'Tabla general'!I137</f>
        <v>3.23</v>
      </c>
      <c r="J21" s="3">
        <f>'Tabla general'!J137</f>
        <v>23</v>
      </c>
      <c r="K21" s="3">
        <f>'Tabla general'!K137*0.49</f>
        <v>5.7329999999999997</v>
      </c>
      <c r="L21" s="3">
        <f>'Tabla general'!L137*1.53</f>
        <v>8.77149</v>
      </c>
      <c r="M21" s="49">
        <f>'Tabla general'!N137/'Tabla general'!O137</f>
        <v>1.5655000000000001</v>
      </c>
    </row>
    <row r="22" spans="1:13">
      <c r="A22" s="88" t="str">
        <f>'Tabla general'!A138</f>
        <v>CH26ISAC25-H1-8</v>
      </c>
      <c r="B22" s="3" t="str">
        <f>'Tabla general'!B138</f>
        <v>Chardonnay</v>
      </c>
      <c r="C22" s="3" t="str">
        <f>'Tabla general'!C138</f>
        <v>Maipo</v>
      </c>
      <c r="D22" s="3" t="str">
        <f>'Tabla general'!D138</f>
        <v>SANTA ISABEL</v>
      </c>
      <c r="E22" s="3">
        <f>'Tabla general'!E138</f>
        <v>25</v>
      </c>
      <c r="F22" s="3">
        <f>'Tabla general'!F138</f>
        <v>1</v>
      </c>
      <c r="G22" s="3" t="str">
        <f>'Tabla general'!G138</f>
        <v>8</v>
      </c>
      <c r="H22" s="102">
        <f>'Tabla general'!H138</f>
        <v>46090</v>
      </c>
      <c r="I22" s="3">
        <f>'Tabla general'!I138</f>
        <v>3.29</v>
      </c>
      <c r="J22" s="3">
        <f>'Tabla general'!J138</f>
        <v>23.8</v>
      </c>
      <c r="K22" s="3">
        <f>'Tabla general'!K138*0.49</f>
        <v>5.1744000000000003</v>
      </c>
      <c r="L22" s="3">
        <f>'Tabla general'!L138*1.53</f>
        <v>7.9168320000000003</v>
      </c>
      <c r="M22" s="49">
        <f>'Tabla general'!N138/'Tabla general'!O138</f>
        <v>1.1830000000000001</v>
      </c>
    </row>
    <row r="23" spans="1:13">
      <c r="A23" s="88" t="str">
        <f>'Tabla general'!A139</f>
        <v>CH26ISAC25-H1-9</v>
      </c>
      <c r="B23" s="3" t="str">
        <f>'Tabla general'!B139</f>
        <v>Chardonnay</v>
      </c>
      <c r="C23" s="3" t="str">
        <f>'Tabla general'!C139</f>
        <v>Maipo</v>
      </c>
      <c r="D23" s="3" t="str">
        <f>'Tabla general'!D139</f>
        <v>SANTA ISABEL</v>
      </c>
      <c r="E23" s="3">
        <f>'Tabla general'!E139</f>
        <v>25</v>
      </c>
      <c r="F23" s="3">
        <f>'Tabla general'!F139</f>
        <v>1</v>
      </c>
      <c r="G23" s="3" t="str">
        <f>'Tabla general'!G139</f>
        <v>9</v>
      </c>
      <c r="H23" s="102">
        <f>'Tabla general'!H139</f>
        <v>46097</v>
      </c>
      <c r="I23" s="3">
        <f>'Tabla general'!I139</f>
        <v>3.31</v>
      </c>
      <c r="J23" s="3">
        <f>'Tabla general'!J139</f>
        <v>24</v>
      </c>
      <c r="K23" s="3">
        <f>'Tabla general'!K139*0.49</f>
        <v>5.0617000000000001</v>
      </c>
      <c r="L23" s="3">
        <f>'Tabla general'!L139*1.53</f>
        <v>7.7444009999999999</v>
      </c>
      <c r="M23" s="49">
        <f>'Tabla general'!N139/'Tabla general'!O139</f>
        <v>1.464</v>
      </c>
    </row>
    <row r="24" spans="1:13">
      <c r="A24" s="88" t="str">
        <f>'Tabla general'!A140</f>
        <v>CH26ISAC25-H1-10</v>
      </c>
      <c r="B24" s="3" t="str">
        <f>'Tabla general'!B140</f>
        <v>Chardonnay</v>
      </c>
      <c r="C24" s="3" t="str">
        <f>'Tabla general'!C140</f>
        <v>Maipo</v>
      </c>
      <c r="D24" s="3" t="str">
        <f>'Tabla general'!D140</f>
        <v>SANTA ISABEL</v>
      </c>
      <c r="E24" s="3">
        <f>'Tabla general'!E140</f>
        <v>25</v>
      </c>
      <c r="F24" s="3">
        <f>'Tabla general'!F140</f>
        <v>1</v>
      </c>
      <c r="G24" s="3" t="str">
        <f>'Tabla general'!G140</f>
        <v>10</v>
      </c>
      <c r="H24" s="102">
        <f>'Tabla general'!H140</f>
        <v>46104</v>
      </c>
      <c r="I24" s="3">
        <f>'Tabla general'!I140</f>
        <v>3.5</v>
      </c>
      <c r="J24" s="3">
        <f>'Tabla general'!J140</f>
        <v>24.8</v>
      </c>
      <c r="K24" s="3">
        <f>'Tabla general'!K140*0.49</f>
        <v>4.9097999999999997</v>
      </c>
      <c r="L24" s="3">
        <f>'Tabla general'!L140*1.53</f>
        <v>7.5119939999999996</v>
      </c>
      <c r="M24" s="49">
        <f>'Tabla general'!N140/'Tabla general'!O140</f>
        <v>1.4269999999999998</v>
      </c>
    </row>
    <row r="25" spans="1:13">
      <c r="A25" s="88" t="str">
        <f>'Tabla general'!A141</f>
        <v>CH26ISAC25-H1-11</v>
      </c>
      <c r="B25" s="3" t="str">
        <f>'Tabla general'!B141</f>
        <v>Chardonnay</v>
      </c>
      <c r="C25" s="3" t="str">
        <f>'Tabla general'!C141</f>
        <v>Maipo</v>
      </c>
      <c r="D25" s="3" t="str">
        <f>'Tabla general'!D141</f>
        <v>SANTA ISABEL</v>
      </c>
      <c r="E25" s="3">
        <f>'Tabla general'!E141</f>
        <v>25</v>
      </c>
      <c r="F25" s="3">
        <f>'Tabla general'!F141</f>
        <v>1</v>
      </c>
      <c r="G25" s="3" t="str">
        <f>'Tabla general'!G141</f>
        <v>11</v>
      </c>
      <c r="H25" s="102">
        <f>'Tabla general'!H141</f>
        <v>46111</v>
      </c>
      <c r="I25" s="3">
        <f>'Tabla general'!I141</f>
        <v>3.42</v>
      </c>
      <c r="J25" s="3">
        <f>'Tabla general'!J141</f>
        <v>25.4</v>
      </c>
      <c r="K25" s="3">
        <f>'Tabla general'!K141*0.49</f>
        <v>4.6109</v>
      </c>
      <c r="L25" s="3">
        <f>'Tabla general'!L141*1.53</f>
        <v>7.0546769999999999</v>
      </c>
      <c r="M25" s="49">
        <f>'Tabla general'!N141/'Tabla general'!O141</f>
        <v>1.4409999999999998</v>
      </c>
    </row>
    <row r="26" spans="1:13">
      <c r="A26" s="88" t="str">
        <f>'Tabla general'!A142</f>
        <v>CH26ISAC25-H1-12</v>
      </c>
      <c r="B26" s="3" t="str">
        <f>'Tabla general'!B142</f>
        <v>Chardonnay</v>
      </c>
      <c r="C26" s="3" t="str">
        <f>'Tabla general'!C142</f>
        <v>Maipo</v>
      </c>
      <c r="D26" s="3" t="str">
        <f>'Tabla general'!D142</f>
        <v>SANTA ISABEL</v>
      </c>
      <c r="E26" s="3">
        <f>'Tabla general'!E142</f>
        <v>25</v>
      </c>
      <c r="F26" s="3">
        <f>'Tabla general'!F142</f>
        <v>1</v>
      </c>
      <c r="G26" s="3" t="str">
        <f>'Tabla general'!G142</f>
        <v>12</v>
      </c>
      <c r="H26" s="102">
        <f>'Tabla general'!H142</f>
        <v>46118</v>
      </c>
      <c r="I26" s="3">
        <f>'Tabla general'!I142</f>
        <v>3.4</v>
      </c>
      <c r="J26" s="3">
        <f>'Tabla general'!J142</f>
        <v>26</v>
      </c>
      <c r="K26" s="3">
        <f>'Tabla general'!K142*0.49</f>
        <v>4.4884000000000004</v>
      </c>
      <c r="L26" s="3">
        <f>'Tabla general'!L142*1.53</f>
        <v>6.8672520000000006</v>
      </c>
      <c r="M26" s="49">
        <f>'Tabla general'!N142/'Tabla general'!O142</f>
        <v>1.3149999999999999</v>
      </c>
    </row>
    <row r="27" spans="1:13">
      <c r="A27" s="89" t="str">
        <f>'Tabla general'!A143</f>
        <v>CH26ISAC25-H1-13</v>
      </c>
      <c r="B27" s="12" t="str">
        <f>'Tabla general'!B143</f>
        <v>Chardonnay</v>
      </c>
      <c r="C27" s="12" t="str">
        <f>'Tabla general'!C143</f>
        <v>Maipo</v>
      </c>
      <c r="D27" s="12" t="str">
        <f>'Tabla general'!D143</f>
        <v>SANTA ISABEL</v>
      </c>
      <c r="E27" s="12">
        <f>'Tabla general'!E143</f>
        <v>25</v>
      </c>
      <c r="F27" s="12">
        <f>'Tabla general'!F143</f>
        <v>1</v>
      </c>
      <c r="G27" s="12">
        <f>'Tabla general'!G143</f>
        <v>13</v>
      </c>
      <c r="H27" s="107">
        <f>'Tabla general'!H143</f>
        <v>46125</v>
      </c>
      <c r="I27" s="12">
        <f>'Tabla general'!I143</f>
        <v>3.39</v>
      </c>
      <c r="J27" s="12">
        <f>'Tabla general'!J143</f>
        <v>26.3</v>
      </c>
      <c r="K27" s="12">
        <f>'Tabla general'!K143*0.49</f>
        <v>4.6402999999999999</v>
      </c>
      <c r="L27" s="12">
        <f>'Tabla general'!L143*1.53</f>
        <v>7.0996589999999999</v>
      </c>
      <c r="M27" s="50">
        <f>'Tabla general'!N143/'Tabla general'!O143</f>
        <v>1.3244999999999998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F99E-2CE9-412B-A154-27DAE09AC950}">
  <dimension ref="A2:M15"/>
  <sheetViews>
    <sheetView workbookViewId="0">
      <selection activeCell="A4" sqref="A4:XFD17"/>
    </sheetView>
  </sheetViews>
  <sheetFormatPr defaultColWidth="8.85546875" defaultRowHeight="14.45"/>
  <cols>
    <col min="1" max="1" width="18.85546875" bestFit="1" customWidth="1"/>
    <col min="2" max="2" width="11.5703125" bestFit="1" customWidth="1"/>
    <col min="4" max="4" width="13.42578125" bestFit="1" customWidth="1"/>
    <col min="8" max="8" width="11.140625" bestFit="1" customWidth="1"/>
    <col min="11" max="11" width="15.5703125" bestFit="1" customWidth="1"/>
    <col min="12" max="12" width="15.28515625" bestFit="1" customWidth="1"/>
  </cols>
  <sheetData>
    <row r="2" spans="1:13">
      <c r="A2" s="46">
        <v>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79" t="s">
        <v>0</v>
      </c>
      <c r="B3" s="47" t="s">
        <v>1</v>
      </c>
      <c r="C3" s="47" t="s">
        <v>2</v>
      </c>
      <c r="D3" s="80" t="s">
        <v>3</v>
      </c>
      <c r="E3" s="80" t="s">
        <v>4</v>
      </c>
      <c r="F3" s="80" t="s">
        <v>5</v>
      </c>
      <c r="G3" s="80" t="s">
        <v>236</v>
      </c>
      <c r="H3" s="81" t="s">
        <v>7</v>
      </c>
      <c r="I3" s="80" t="s">
        <v>8</v>
      </c>
      <c r="J3" s="80" t="s">
        <v>9</v>
      </c>
      <c r="K3" s="80" t="s">
        <v>11</v>
      </c>
      <c r="L3" s="80" t="s">
        <v>12</v>
      </c>
      <c r="M3" s="82" t="s">
        <v>15</v>
      </c>
    </row>
    <row r="4" spans="1:13">
      <c r="A4" s="88" t="str">
        <f>'Tabla general'!A145</f>
        <v>CH26SIGC12-H210-1</v>
      </c>
      <c r="B4" s="3" t="str">
        <f>'Tabla general'!B145</f>
        <v>Chardonnay</v>
      </c>
      <c r="C4" s="3" t="str">
        <f>'Tabla general'!C145</f>
        <v>Curicó</v>
      </c>
      <c r="D4" s="3" t="str">
        <f>'Tabla general'!D145</f>
        <v>SAN IGNACIO</v>
      </c>
      <c r="E4" s="3">
        <f>'Tabla general'!E145</f>
        <v>12</v>
      </c>
      <c r="F4" s="3">
        <f>'Tabla general'!F145</f>
        <v>210</v>
      </c>
      <c r="G4" s="3" t="str">
        <f>'Tabla general'!G145</f>
        <v>1</v>
      </c>
      <c r="H4" s="102">
        <f>'Tabla general'!H145</f>
        <v>46051</v>
      </c>
      <c r="I4" s="3">
        <f>'Tabla general'!I145</f>
        <v>3.04</v>
      </c>
      <c r="J4" s="3">
        <f>'Tabla general'!J145</f>
        <v>14.8</v>
      </c>
      <c r="K4" s="3">
        <f>'Tabla general'!K145*0.49</f>
        <v>11.779599999999999</v>
      </c>
      <c r="L4" s="3">
        <f>'Tabla general'!L145*1.53</f>
        <v>18.022787999999998</v>
      </c>
      <c r="M4" s="49">
        <f>'Tabla general'!N145/'Tabla general'!O145</f>
        <v>1.3351</v>
      </c>
    </row>
    <row r="5" spans="1:13">
      <c r="A5" s="88" t="str">
        <f>'Tabla general'!A146</f>
        <v>CH26SIGC12-H210-2</v>
      </c>
      <c r="B5" s="3" t="str">
        <f>'Tabla general'!B146</f>
        <v>Chardonnay</v>
      </c>
      <c r="C5" s="3" t="str">
        <f>'Tabla general'!C146</f>
        <v>Curicó</v>
      </c>
      <c r="D5" s="3" t="str">
        <f>'Tabla general'!D146</f>
        <v>SAN IGNACIO</v>
      </c>
      <c r="E5" s="3">
        <f>'Tabla general'!E146</f>
        <v>12</v>
      </c>
      <c r="F5" s="3">
        <f>'Tabla general'!F146</f>
        <v>210</v>
      </c>
      <c r="G5" s="3" t="str">
        <f>'Tabla general'!G146</f>
        <v>2</v>
      </c>
      <c r="H5" s="102">
        <f>'Tabla general'!H146</f>
        <v>46058</v>
      </c>
      <c r="I5" s="3">
        <f>'Tabla general'!I146</f>
        <v>3.17</v>
      </c>
      <c r="J5" s="3">
        <f>'Tabla general'!J146</f>
        <v>17.600000000000001</v>
      </c>
      <c r="K5" s="3">
        <f>'Tabla general'!K146*0.49</f>
        <v>9.251199999999999</v>
      </c>
      <c r="L5" s="3">
        <f>'Tabla general'!L146*1.53</f>
        <v>14.154335999999999</v>
      </c>
      <c r="M5" s="49">
        <f>'Tabla general'!N146/'Tabla general'!O146</f>
        <v>1.4684999999999999</v>
      </c>
    </row>
    <row r="6" spans="1:13">
      <c r="A6" s="88" t="str">
        <f>'Tabla general'!A147</f>
        <v>CH26SIGC12-H210-3</v>
      </c>
      <c r="B6" s="3" t="str">
        <f>'Tabla general'!B147</f>
        <v>Chardonnay</v>
      </c>
      <c r="C6" s="3" t="str">
        <f>'Tabla general'!C147</f>
        <v>Curicó</v>
      </c>
      <c r="D6" s="3" t="str">
        <f>'Tabla general'!D147</f>
        <v>SAN IGNACIO</v>
      </c>
      <c r="E6" s="3">
        <f>'Tabla general'!E147</f>
        <v>12</v>
      </c>
      <c r="F6" s="3">
        <f>'Tabla general'!F147</f>
        <v>210</v>
      </c>
      <c r="G6" s="3" t="str">
        <f>'Tabla general'!G147</f>
        <v>3</v>
      </c>
      <c r="H6" s="102">
        <f>'Tabla general'!H147</f>
        <v>46065</v>
      </c>
      <c r="I6" s="3">
        <f>'Tabla general'!I147</f>
        <v>3.25</v>
      </c>
      <c r="J6" s="3">
        <f>'Tabla general'!J147</f>
        <v>19.7</v>
      </c>
      <c r="K6" s="3">
        <f>'Tabla general'!K147*0.49</f>
        <v>8.0556000000000001</v>
      </c>
      <c r="L6" s="3">
        <f>'Tabla general'!L147*1.53</f>
        <v>12.325068</v>
      </c>
      <c r="M6" s="49">
        <f>'Tabla general'!N147/'Tabla general'!O147</f>
        <v>1.5434999999999999</v>
      </c>
    </row>
    <row r="7" spans="1:13">
      <c r="A7" s="88" t="str">
        <f>'Tabla general'!A148</f>
        <v>CH26SIGC12-H210-4</v>
      </c>
      <c r="B7" s="3" t="str">
        <f>'Tabla general'!B148</f>
        <v>Chardonnay</v>
      </c>
      <c r="C7" s="3" t="str">
        <f>'Tabla general'!C148</f>
        <v>Curicó</v>
      </c>
      <c r="D7" s="3" t="str">
        <f>'Tabla general'!D148</f>
        <v>SAN IGNACIO</v>
      </c>
      <c r="E7" s="3">
        <f>'Tabla general'!E148</f>
        <v>12</v>
      </c>
      <c r="F7" s="3">
        <f>'Tabla general'!F148</f>
        <v>210</v>
      </c>
      <c r="G7" s="3" t="str">
        <f>'Tabla general'!G148</f>
        <v>4</v>
      </c>
      <c r="H7" s="102">
        <f>'Tabla general'!H148</f>
        <v>46072</v>
      </c>
      <c r="I7" s="3">
        <f>'Tabla general'!I148</f>
        <v>3.31</v>
      </c>
      <c r="J7" s="3">
        <f>'Tabla general'!J148</f>
        <v>21.5</v>
      </c>
      <c r="K7" s="3">
        <f>'Tabla general'!K148*0.49</f>
        <v>7.8595999999999995</v>
      </c>
      <c r="L7" s="3">
        <f>'Tabla general'!L148*1.53</f>
        <v>12.025188</v>
      </c>
      <c r="M7" s="49">
        <f>'Tabla general'!N148/'Tabla general'!O148</f>
        <v>1.514</v>
      </c>
    </row>
    <row r="8" spans="1:13">
      <c r="A8" s="88" t="str">
        <f>'Tabla general'!A149</f>
        <v>CH26SIGC12-H210-5</v>
      </c>
      <c r="B8" s="3" t="str">
        <f>'Tabla general'!B149</f>
        <v>Chardonnay</v>
      </c>
      <c r="C8" s="3" t="str">
        <f>'Tabla general'!C149</f>
        <v>Curicó</v>
      </c>
      <c r="D8" s="3" t="str">
        <f>'Tabla general'!D149</f>
        <v>SAN IGNACIO</v>
      </c>
      <c r="E8" s="3">
        <f>'Tabla general'!E149</f>
        <v>12</v>
      </c>
      <c r="F8" s="3">
        <f>'Tabla general'!F149</f>
        <v>210</v>
      </c>
      <c r="G8" s="3" t="str">
        <f>'Tabla general'!G149</f>
        <v>5</v>
      </c>
      <c r="H8" s="102">
        <f>'Tabla general'!H149</f>
        <v>46079</v>
      </c>
      <c r="I8" s="3">
        <f>'Tabla general'!I149</f>
        <v>3.36</v>
      </c>
      <c r="J8" s="3">
        <f>'Tabla general'!J149</f>
        <v>23.1</v>
      </c>
      <c r="K8" s="3">
        <f>'Tabla general'!K149*0.49</f>
        <v>6.4287999999999998</v>
      </c>
      <c r="L8" s="3">
        <f>'Tabla general'!L149*1.53</f>
        <v>9.8360640000000004</v>
      </c>
      <c r="M8" s="49">
        <f>'Tabla general'!N149/'Tabla general'!O149</f>
        <v>1.4780000000000002</v>
      </c>
    </row>
    <row r="9" spans="1:13">
      <c r="A9" s="88" t="str">
        <f>'Tabla general'!A150</f>
        <v>CH26SIGC12-H210-6</v>
      </c>
      <c r="B9" s="3" t="str">
        <f>'Tabla general'!B150</f>
        <v>Chardonnay</v>
      </c>
      <c r="C9" s="3" t="str">
        <f>'Tabla general'!C150</f>
        <v>Curicó</v>
      </c>
      <c r="D9" s="3" t="str">
        <f>'Tabla general'!D150</f>
        <v>SAN IGNACIO</v>
      </c>
      <c r="E9" s="3">
        <f>'Tabla general'!E150</f>
        <v>12</v>
      </c>
      <c r="F9" s="3">
        <f>'Tabla general'!F150</f>
        <v>210</v>
      </c>
      <c r="G9" s="3" t="str">
        <f>'Tabla general'!G150</f>
        <v>6</v>
      </c>
      <c r="H9" s="102">
        <f>'Tabla general'!H150</f>
        <v>46086</v>
      </c>
      <c r="I9" s="3">
        <f>'Tabla general'!I150</f>
        <v>3.4</v>
      </c>
      <c r="J9" s="3">
        <f>'Tabla general'!J150</f>
        <v>23.2</v>
      </c>
      <c r="K9" s="3">
        <f>'Tabla general'!K150*0.49</f>
        <v>5.9779999999999998</v>
      </c>
      <c r="L9" s="3">
        <f>'Tabla general'!L150*1.53</f>
        <v>9.1463400000000004</v>
      </c>
      <c r="M9" s="49">
        <f>'Tabla general'!N150/'Tabla general'!O150</f>
        <v>1.4969999999999999</v>
      </c>
    </row>
    <row r="10" spans="1:13">
      <c r="A10" s="88" t="str">
        <f>'Tabla general'!A151</f>
        <v>CH26SIGC12-H210-7</v>
      </c>
      <c r="B10" s="3" t="str">
        <f>'Tabla general'!B151</f>
        <v>Chardonnay</v>
      </c>
      <c r="C10" s="3" t="str">
        <f>'Tabla general'!C151</f>
        <v>Curicó</v>
      </c>
      <c r="D10" s="3" t="str">
        <f>'Tabla general'!D151</f>
        <v>SAN IGNACIO</v>
      </c>
      <c r="E10" s="3">
        <f>'Tabla general'!E151</f>
        <v>12</v>
      </c>
      <c r="F10" s="3">
        <f>'Tabla general'!F151</f>
        <v>210</v>
      </c>
      <c r="G10" s="3" t="str">
        <f>'Tabla general'!G151</f>
        <v>7</v>
      </c>
      <c r="H10" s="102">
        <f>'Tabla general'!H151</f>
        <v>46094</v>
      </c>
      <c r="I10" s="3">
        <f>'Tabla general'!I151</f>
        <v>3.83</v>
      </c>
      <c r="J10" s="3">
        <f>'Tabla general'!J151</f>
        <v>24.4</v>
      </c>
      <c r="K10" s="3">
        <f>'Tabla general'!K151*0.49</f>
        <v>3.3515999999999999</v>
      </c>
      <c r="L10" s="3">
        <f>'Tabla general'!L151*1.53</f>
        <v>5.127948</v>
      </c>
      <c r="M10" s="49">
        <f>'Tabla general'!N151/'Tabla general'!O151</f>
        <v>1.3759999999999999</v>
      </c>
    </row>
    <row r="11" spans="1:13">
      <c r="A11" s="88" t="str">
        <f>'Tabla general'!A152</f>
        <v>CH26SIGC12-H210-8</v>
      </c>
      <c r="B11" s="3" t="str">
        <f>'Tabla general'!B152</f>
        <v>Chardonnay</v>
      </c>
      <c r="C11" s="3" t="str">
        <f>'Tabla general'!C152</f>
        <v>Curicó</v>
      </c>
      <c r="D11" s="3" t="str">
        <f>'Tabla general'!D152</f>
        <v>SAN IGNACIO</v>
      </c>
      <c r="E11" s="3">
        <f>'Tabla general'!E152</f>
        <v>12</v>
      </c>
      <c r="F11" s="3">
        <f>'Tabla general'!F152</f>
        <v>210</v>
      </c>
      <c r="G11" s="3" t="str">
        <f>'Tabla general'!G152</f>
        <v>8</v>
      </c>
      <c r="H11" s="102">
        <f>'Tabla general'!H152</f>
        <v>46100</v>
      </c>
      <c r="I11" s="3">
        <f>'Tabla general'!I152</f>
        <v>3.58</v>
      </c>
      <c r="J11" s="3">
        <f>'Tabla general'!J152</f>
        <v>24.6</v>
      </c>
      <c r="K11" s="3">
        <f>'Tabla general'!K152*0.49</f>
        <v>5.8897999999999993</v>
      </c>
      <c r="L11" s="3">
        <f>'Tabla general'!L152*1.53</f>
        <v>9.0113939999999992</v>
      </c>
      <c r="M11" s="49">
        <f>'Tabla general'!N152/'Tabla general'!O152</f>
        <v>1.4475</v>
      </c>
    </row>
    <row r="12" spans="1:13">
      <c r="A12" s="88" t="str">
        <f>'Tabla general'!A153</f>
        <v>CH26SIGC12-H210-9</v>
      </c>
      <c r="B12" s="3" t="str">
        <f>'Tabla general'!B153</f>
        <v>Chardonnay</v>
      </c>
      <c r="C12" s="3" t="str">
        <f>'Tabla general'!C153</f>
        <v>Curicó</v>
      </c>
      <c r="D12" s="3" t="str">
        <f>'Tabla general'!D153</f>
        <v>SAN IGNACIO</v>
      </c>
      <c r="E12" s="3">
        <f>'Tabla general'!E153</f>
        <v>12</v>
      </c>
      <c r="F12" s="3">
        <f>'Tabla general'!F153</f>
        <v>210</v>
      </c>
      <c r="G12" s="3" t="str">
        <f>'Tabla general'!G153</f>
        <v>9</v>
      </c>
      <c r="H12" s="102" t="str">
        <f>'Tabla general'!H153</f>
        <v>-</v>
      </c>
      <c r="I12" s="3">
        <f>'Tabla general'!I153</f>
        <v>3.45</v>
      </c>
      <c r="J12" s="3">
        <f>'Tabla general'!J153</f>
        <v>24.2</v>
      </c>
      <c r="K12" s="3">
        <f>'Tabla general'!K153*0.49</f>
        <v>5.5026999999999999</v>
      </c>
      <c r="L12" s="3">
        <f>'Tabla general'!L153*1.53</f>
        <v>8.4191310000000001</v>
      </c>
      <c r="M12" s="49">
        <f>'Tabla general'!N153/'Tabla general'!O153</f>
        <v>1.4240000000000002</v>
      </c>
    </row>
    <row r="13" spans="1:13">
      <c r="A13" s="88" t="str">
        <f>'Tabla general'!A154</f>
        <v>CH26SIGC12-H210-10</v>
      </c>
      <c r="B13" s="3" t="str">
        <f>'Tabla general'!B154</f>
        <v>Chardonnay</v>
      </c>
      <c r="C13" s="3" t="str">
        <f>'Tabla general'!C154</f>
        <v>Curicó</v>
      </c>
      <c r="D13" s="3" t="str">
        <f>'Tabla general'!D154</f>
        <v>SAN IGNACIO</v>
      </c>
      <c r="E13" s="3">
        <f>'Tabla general'!E154</f>
        <v>12</v>
      </c>
      <c r="F13" s="3">
        <f>'Tabla general'!F154</f>
        <v>210</v>
      </c>
      <c r="G13" s="3">
        <f>'Tabla general'!G154</f>
        <v>10</v>
      </c>
      <c r="H13" s="102">
        <f>'Tabla general'!H154</f>
        <v>46114</v>
      </c>
      <c r="I13" s="3">
        <f>'Tabla general'!I154</f>
        <v>3.45</v>
      </c>
      <c r="J13" s="3">
        <f>'Tabla general'!J154</f>
        <v>24.1</v>
      </c>
      <c r="K13" s="3">
        <f>'Tabla general'!K154*0.49</f>
        <v>5.3361000000000001</v>
      </c>
      <c r="L13" s="3">
        <f>'Tabla general'!L154*1.53</f>
        <v>8.1642329999999994</v>
      </c>
      <c r="M13" s="49">
        <f>'Tabla general'!N154/'Tabla general'!O154</f>
        <v>1.5830000000000002</v>
      </c>
    </row>
    <row r="14" spans="1:13">
      <c r="A14" s="88" t="str">
        <f>'Tabla general'!A155</f>
        <v>CH26SIGC12-H210-11</v>
      </c>
      <c r="B14" s="3" t="str">
        <f>'Tabla general'!B155</f>
        <v>Chardonnay</v>
      </c>
      <c r="C14" s="3" t="str">
        <f>'Tabla general'!C155</f>
        <v>Curicó</v>
      </c>
      <c r="D14" s="3" t="str">
        <f>'Tabla general'!D155</f>
        <v>SAN IGNACIO</v>
      </c>
      <c r="E14" s="3">
        <f>'Tabla general'!E155</f>
        <v>12</v>
      </c>
      <c r="F14" s="3">
        <f>'Tabla general'!F155</f>
        <v>210</v>
      </c>
      <c r="G14" s="3" t="str">
        <f>'Tabla general'!G155</f>
        <v>11</v>
      </c>
      <c r="H14" s="102">
        <f>'Tabla general'!H155</f>
        <v>46121</v>
      </c>
      <c r="I14" s="3">
        <f>'Tabla general'!I155</f>
        <v>3.49</v>
      </c>
      <c r="J14" s="3">
        <f>'Tabla general'!J155</f>
        <v>24.4</v>
      </c>
      <c r="K14" s="3">
        <f>'Tabla general'!K155*0.49</f>
        <v>5.8506</v>
      </c>
      <c r="L14" s="3">
        <f>'Tabla general'!L155*1.53</f>
        <v>8.9514180000000003</v>
      </c>
      <c r="M14" s="49">
        <f>'Tabla general'!N155/'Tabla general'!O155</f>
        <v>1.3805000000000001</v>
      </c>
    </row>
    <row r="15" spans="1:13">
      <c r="A15" s="89" t="str">
        <f>'Tabla general'!A156</f>
        <v>CH26SIGC12-H210-12</v>
      </c>
      <c r="B15" s="12" t="str">
        <f>'Tabla general'!B156</f>
        <v>Chardonnay</v>
      </c>
      <c r="C15" s="12" t="str">
        <f>'Tabla general'!C156</f>
        <v>Curicó</v>
      </c>
      <c r="D15" s="12" t="str">
        <f>'Tabla general'!D156</f>
        <v>SAN IGNACIO</v>
      </c>
      <c r="E15" s="12">
        <f>'Tabla general'!E156</f>
        <v>12</v>
      </c>
      <c r="F15" s="12">
        <f>'Tabla general'!F156</f>
        <v>210</v>
      </c>
      <c r="G15" s="12" t="str">
        <f>'Tabla general'!G156</f>
        <v>12</v>
      </c>
      <c r="H15" s="107">
        <f>'Tabla general'!H156</f>
        <v>46127</v>
      </c>
      <c r="I15" s="12">
        <f>'Tabla general'!I156</f>
        <v>3.65</v>
      </c>
      <c r="J15" s="12">
        <f>'Tabla general'!J156</f>
        <v>24.3</v>
      </c>
      <c r="K15" s="12">
        <f>'Tabla general'!K156*0.49</f>
        <v>5.2968999999999999</v>
      </c>
      <c r="L15" s="12">
        <f>'Tabla general'!L156*1.53</f>
        <v>8.1042570000000005</v>
      </c>
      <c r="M15" s="50">
        <f>'Tabla general'!N156/'Tabla general'!O156</f>
        <v>1.6130000000000002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345D-3150-4BFF-A70A-D5006B03CBA1}">
  <dimension ref="A1:L16"/>
  <sheetViews>
    <sheetView workbookViewId="0">
      <selection activeCell="I19" sqref="I19"/>
    </sheetView>
  </sheetViews>
  <sheetFormatPr defaultColWidth="8.7109375" defaultRowHeight="14.45"/>
  <cols>
    <col min="1" max="1" width="19.85546875" customWidth="1"/>
    <col min="2" max="3" width="14.42578125" customWidth="1"/>
    <col min="4" max="4" width="16.5703125" customWidth="1"/>
    <col min="7" max="7" width="12.140625" customWidth="1"/>
    <col min="9" max="9" width="9.140625"/>
    <col min="10" max="10" width="14.5703125" customWidth="1"/>
    <col min="11" max="11" width="14.140625" customWidth="1"/>
  </cols>
  <sheetData>
    <row r="1" spans="1:12">
      <c r="A1" s="15" t="s">
        <v>0</v>
      </c>
      <c r="B1" s="4" t="s">
        <v>1</v>
      </c>
      <c r="C1" s="4" t="s">
        <v>2</v>
      </c>
      <c r="D1" s="16" t="s">
        <v>3</v>
      </c>
      <c r="E1" s="16" t="s">
        <v>4</v>
      </c>
      <c r="F1" s="16" t="s">
        <v>5</v>
      </c>
      <c r="G1" s="16" t="s">
        <v>7</v>
      </c>
      <c r="H1" s="16" t="s">
        <v>8</v>
      </c>
      <c r="I1" s="17" t="s">
        <v>9</v>
      </c>
      <c r="J1" s="16" t="s">
        <v>11</v>
      </c>
      <c r="K1" s="16" t="s">
        <v>12</v>
      </c>
      <c r="L1" s="16" t="s">
        <v>15</v>
      </c>
    </row>
    <row r="2" spans="1:12">
      <c r="A2" s="7" t="s">
        <v>336</v>
      </c>
      <c r="B2" s="27" t="s">
        <v>17</v>
      </c>
      <c r="C2" s="37" t="s">
        <v>337</v>
      </c>
      <c r="D2" s="30" t="s">
        <v>338</v>
      </c>
      <c r="E2" s="8" t="s">
        <v>339</v>
      </c>
      <c r="F2" s="8" t="s">
        <v>140</v>
      </c>
      <c r="G2" s="19">
        <v>45686</v>
      </c>
      <c r="H2" s="32">
        <v>2.94</v>
      </c>
      <c r="I2" s="32">
        <v>16.399999999999999</v>
      </c>
      <c r="J2" s="33"/>
      <c r="K2" s="8"/>
      <c r="L2" s="24"/>
    </row>
    <row r="3" spans="1:12">
      <c r="A3" s="9" t="s">
        <v>340</v>
      </c>
      <c r="B3" s="28" t="s">
        <v>17</v>
      </c>
      <c r="C3" s="5" t="s">
        <v>337</v>
      </c>
      <c r="D3" s="1" t="s">
        <v>338</v>
      </c>
      <c r="E3" s="3" t="s">
        <v>339</v>
      </c>
      <c r="F3" s="3" t="s">
        <v>140</v>
      </c>
      <c r="G3" s="20">
        <v>45693</v>
      </c>
      <c r="H3" s="21">
        <v>3.05</v>
      </c>
      <c r="I3" s="21">
        <v>18.100000000000001</v>
      </c>
      <c r="J3" s="23"/>
      <c r="K3" s="6"/>
      <c r="L3" s="25"/>
    </row>
    <row r="4" spans="1:12">
      <c r="A4" s="9" t="s">
        <v>341</v>
      </c>
      <c r="B4" s="28" t="s">
        <v>17</v>
      </c>
      <c r="C4" s="5" t="s">
        <v>337</v>
      </c>
      <c r="D4" s="1" t="s">
        <v>338</v>
      </c>
      <c r="E4" s="3" t="s">
        <v>339</v>
      </c>
      <c r="F4" s="3" t="s">
        <v>140</v>
      </c>
      <c r="G4" s="20">
        <v>45700</v>
      </c>
      <c r="H4" s="21">
        <v>3.22</v>
      </c>
      <c r="I4" s="21">
        <v>18.399999999999999</v>
      </c>
      <c r="J4" s="23"/>
      <c r="K4" s="3"/>
      <c r="L4" s="25"/>
    </row>
    <row r="5" spans="1:12">
      <c r="A5" s="9" t="s">
        <v>342</v>
      </c>
      <c r="B5" s="28" t="s">
        <v>17</v>
      </c>
      <c r="C5" s="5" t="s">
        <v>337</v>
      </c>
      <c r="D5" s="1" t="s">
        <v>338</v>
      </c>
      <c r="E5" s="3" t="s">
        <v>339</v>
      </c>
      <c r="F5" s="3" t="s">
        <v>140</v>
      </c>
      <c r="G5" s="18">
        <v>45707</v>
      </c>
      <c r="H5" s="21">
        <v>3.29</v>
      </c>
      <c r="I5" s="21">
        <v>21</v>
      </c>
      <c r="J5" s="23"/>
      <c r="K5" s="3"/>
      <c r="L5" s="25"/>
    </row>
    <row r="6" spans="1:12">
      <c r="A6" s="9" t="s">
        <v>343</v>
      </c>
      <c r="B6" s="28" t="s">
        <v>17</v>
      </c>
      <c r="C6" s="5" t="s">
        <v>337</v>
      </c>
      <c r="D6" s="1" t="s">
        <v>338</v>
      </c>
      <c r="E6" s="3" t="s">
        <v>339</v>
      </c>
      <c r="F6" s="3" t="s">
        <v>140</v>
      </c>
      <c r="G6" s="18">
        <v>45719</v>
      </c>
      <c r="H6" s="21">
        <v>3.19</v>
      </c>
      <c r="I6" s="21">
        <v>22.4</v>
      </c>
      <c r="J6" s="23"/>
      <c r="K6" s="3"/>
      <c r="L6" s="25"/>
    </row>
    <row r="7" spans="1:12">
      <c r="A7" s="9" t="s">
        <v>344</v>
      </c>
      <c r="B7" s="28" t="s">
        <v>17</v>
      </c>
      <c r="C7" s="5" t="s">
        <v>337</v>
      </c>
      <c r="D7" s="1" t="s">
        <v>338</v>
      </c>
      <c r="E7" s="3" t="s">
        <v>339</v>
      </c>
      <c r="F7" s="3" t="s">
        <v>140</v>
      </c>
      <c r="G7" s="18">
        <v>45722</v>
      </c>
      <c r="H7" s="21">
        <v>3.31</v>
      </c>
      <c r="I7" s="21">
        <v>23</v>
      </c>
      <c r="J7" s="23"/>
      <c r="K7" s="3"/>
      <c r="L7" s="25"/>
    </row>
    <row r="8" spans="1:12">
      <c r="A8" s="9" t="s">
        <v>345</v>
      </c>
      <c r="B8" s="28" t="s">
        <v>17</v>
      </c>
      <c r="C8" s="5" t="s">
        <v>337</v>
      </c>
      <c r="D8" s="1" t="s">
        <v>346</v>
      </c>
      <c r="E8" s="3" t="s">
        <v>347</v>
      </c>
      <c r="F8" s="3" t="s">
        <v>140</v>
      </c>
      <c r="G8" s="18">
        <v>45671</v>
      </c>
      <c r="H8" s="21">
        <v>2.88</v>
      </c>
      <c r="I8" s="21">
        <v>16.399999999999999</v>
      </c>
      <c r="J8" s="23"/>
      <c r="K8" s="3"/>
      <c r="L8" s="25"/>
    </row>
    <row r="9" spans="1:12">
      <c r="A9" s="9" t="s">
        <v>348</v>
      </c>
      <c r="B9" s="28" t="s">
        <v>17</v>
      </c>
      <c r="C9" s="5" t="s">
        <v>337</v>
      </c>
      <c r="D9" s="1" t="s">
        <v>346</v>
      </c>
      <c r="E9" s="3" t="s">
        <v>347</v>
      </c>
      <c r="F9" s="3" t="s">
        <v>140</v>
      </c>
      <c r="G9" s="18">
        <v>45677</v>
      </c>
      <c r="H9" s="21">
        <v>2.85</v>
      </c>
      <c r="I9" s="21">
        <v>18.399999999999999</v>
      </c>
      <c r="J9" s="23"/>
      <c r="K9" s="3"/>
      <c r="L9" s="25"/>
    </row>
    <row r="10" spans="1:12">
      <c r="A10" s="9" t="s">
        <v>349</v>
      </c>
      <c r="B10" s="28" t="s">
        <v>17</v>
      </c>
      <c r="C10" s="5" t="s">
        <v>337</v>
      </c>
      <c r="D10" s="1" t="s">
        <v>346</v>
      </c>
      <c r="E10" s="3" t="s">
        <v>347</v>
      </c>
      <c r="F10" s="3" t="s">
        <v>140</v>
      </c>
      <c r="G10" s="18">
        <v>45680</v>
      </c>
      <c r="H10" s="21">
        <v>2.96</v>
      </c>
      <c r="I10" s="21">
        <v>18.2</v>
      </c>
      <c r="J10" s="23"/>
      <c r="K10" s="3"/>
      <c r="L10" s="25"/>
    </row>
    <row r="11" spans="1:12">
      <c r="A11" s="9" t="s">
        <v>350</v>
      </c>
      <c r="B11" s="28" t="s">
        <v>17</v>
      </c>
      <c r="C11" s="5" t="s">
        <v>337</v>
      </c>
      <c r="D11" s="1" t="s">
        <v>346</v>
      </c>
      <c r="E11" s="3" t="s">
        <v>347</v>
      </c>
      <c r="F11" s="3" t="s">
        <v>140</v>
      </c>
      <c r="G11" s="18">
        <v>45684</v>
      </c>
      <c r="H11" s="21">
        <v>2.96</v>
      </c>
      <c r="I11" s="21">
        <v>17.2</v>
      </c>
      <c r="J11" s="23"/>
      <c r="K11" s="3"/>
      <c r="L11" s="25"/>
    </row>
    <row r="12" spans="1:12">
      <c r="A12" s="9" t="s">
        <v>351</v>
      </c>
      <c r="B12" s="28" t="s">
        <v>17</v>
      </c>
      <c r="C12" s="5" t="s">
        <v>337</v>
      </c>
      <c r="D12" s="1" t="s">
        <v>346</v>
      </c>
      <c r="E12" s="3" t="s">
        <v>347</v>
      </c>
      <c r="F12" s="3" t="s">
        <v>140</v>
      </c>
      <c r="G12" s="18">
        <v>45687</v>
      </c>
      <c r="H12" s="21">
        <v>3.1</v>
      </c>
      <c r="I12" s="21">
        <v>20.2</v>
      </c>
      <c r="J12" s="21"/>
      <c r="K12" s="22"/>
      <c r="L12" s="10"/>
    </row>
    <row r="13" spans="1:12">
      <c r="A13" s="9" t="s">
        <v>352</v>
      </c>
      <c r="B13" s="28" t="s">
        <v>17</v>
      </c>
      <c r="C13" s="5" t="s">
        <v>337</v>
      </c>
      <c r="D13" s="1" t="s">
        <v>346</v>
      </c>
      <c r="E13" s="3" t="s">
        <v>347</v>
      </c>
      <c r="F13" s="3" t="s">
        <v>140</v>
      </c>
      <c r="G13" s="18">
        <v>45691</v>
      </c>
      <c r="H13" s="21">
        <v>3.03</v>
      </c>
      <c r="I13" s="21">
        <v>19.8</v>
      </c>
      <c r="J13" s="21"/>
      <c r="K13" s="22"/>
      <c r="L13" s="10"/>
    </row>
    <row r="14" spans="1:12">
      <c r="A14" s="9" t="s">
        <v>353</v>
      </c>
      <c r="B14" s="28" t="s">
        <v>17</v>
      </c>
      <c r="C14" s="5" t="s">
        <v>337</v>
      </c>
      <c r="D14" s="1" t="s">
        <v>346</v>
      </c>
      <c r="E14" s="3" t="s">
        <v>347</v>
      </c>
      <c r="F14" s="3" t="s">
        <v>140</v>
      </c>
      <c r="G14" s="18">
        <v>45694</v>
      </c>
      <c r="H14" s="21">
        <v>3.04</v>
      </c>
      <c r="I14" s="21">
        <v>20.6</v>
      </c>
      <c r="J14" s="21"/>
      <c r="K14" s="22"/>
      <c r="L14" s="10"/>
    </row>
    <row r="15" spans="1:12">
      <c r="A15" s="9" t="s">
        <v>354</v>
      </c>
      <c r="B15" s="28" t="s">
        <v>17</v>
      </c>
      <c r="C15" s="5" t="s">
        <v>337</v>
      </c>
      <c r="D15" s="1" t="s">
        <v>346</v>
      </c>
      <c r="E15" s="3" t="s">
        <v>347</v>
      </c>
      <c r="F15" s="3" t="s">
        <v>140</v>
      </c>
      <c r="G15" s="34">
        <v>45698</v>
      </c>
      <c r="H15" s="21">
        <v>3.08</v>
      </c>
      <c r="I15" s="21">
        <v>20.2</v>
      </c>
      <c r="J15" s="21"/>
      <c r="K15" s="22"/>
      <c r="L15" s="10"/>
    </row>
    <row r="16" spans="1:12">
      <c r="A16" s="11" t="s">
        <v>355</v>
      </c>
      <c r="B16" s="29" t="s">
        <v>17</v>
      </c>
      <c r="C16" s="38" t="s">
        <v>337</v>
      </c>
      <c r="D16" s="31" t="s">
        <v>346</v>
      </c>
      <c r="E16" s="12" t="s">
        <v>347</v>
      </c>
      <c r="F16" s="12" t="s">
        <v>140</v>
      </c>
      <c r="G16" s="13">
        <v>45701</v>
      </c>
      <c r="H16" s="35">
        <v>3.23</v>
      </c>
      <c r="I16" s="35">
        <v>22.2</v>
      </c>
      <c r="J16" s="35"/>
      <c r="K16" s="36"/>
      <c r="L16" s="1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63E61BE9AF4CB41523AF82182D39" ma:contentTypeVersion="15" ma:contentTypeDescription="Create a new document." ma:contentTypeScope="" ma:versionID="0feee9963e12b5fd2c54b2bd75b403d4">
  <xsd:schema xmlns:xsd="http://www.w3.org/2001/XMLSchema" xmlns:xs="http://www.w3.org/2001/XMLSchema" xmlns:p="http://schemas.microsoft.com/office/2006/metadata/properties" xmlns:ns2="9f11a6a5-ee82-4a02-bebc-d75e619d3131" xmlns:ns3="bae2cfbf-d425-4210-abb5-c5356e70b5e2" targetNamespace="http://schemas.microsoft.com/office/2006/metadata/properties" ma:root="true" ma:fieldsID="19fd53b458839ab4ba21b394543d2956" ns2:_="" ns3:_="">
    <xsd:import namespace="9f11a6a5-ee82-4a02-bebc-d75e619d3131"/>
    <xsd:import namespace="bae2cfbf-d425-4210-abb5-c5356e70b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1a6a5-ee82-4a02-bebc-d75e619d3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33408e-f44f-44d9-98e6-facb173d55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2cfbf-d425-4210-abb5-c5356e70b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16d649-b879-43b3-8d6f-ee172b72b113}" ma:internalName="TaxCatchAll" ma:showField="CatchAllData" ma:web="bae2cfbf-d425-4210-abb5-c5356e70b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11a6a5-ee82-4a02-bebc-d75e619d3131">
      <Terms xmlns="http://schemas.microsoft.com/office/infopath/2007/PartnerControls"/>
    </lcf76f155ced4ddcb4097134ff3c332f>
    <TaxCatchAll xmlns="bae2cfbf-d425-4210-abb5-c5356e70b5e2" xsi:nil="true"/>
  </documentManagement>
</p:properties>
</file>

<file path=customXml/itemProps1.xml><?xml version="1.0" encoding="utf-8"?>
<ds:datastoreItem xmlns:ds="http://schemas.openxmlformats.org/officeDocument/2006/customXml" ds:itemID="{D258BDAE-03A8-4118-B80A-A3116C8F9A72}"/>
</file>

<file path=customXml/itemProps2.xml><?xml version="1.0" encoding="utf-8"?>
<ds:datastoreItem xmlns:ds="http://schemas.openxmlformats.org/officeDocument/2006/customXml" ds:itemID="{F25E6CF5-D6B4-4A0E-B1B9-FB508075BD95}"/>
</file>

<file path=customXml/itemProps3.xml><?xml version="1.0" encoding="utf-8"?>
<ds:datastoreItem xmlns:ds="http://schemas.openxmlformats.org/officeDocument/2006/customXml" ds:itemID="{2C35535A-7F39-4351-B441-2623F3A252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valescaepulf@gmail.com</cp:lastModifiedBy>
  <cp:revision/>
  <dcterms:created xsi:type="dcterms:W3CDTF">2025-01-23T19:59:20Z</dcterms:created>
  <dcterms:modified xsi:type="dcterms:W3CDTF">2026-05-14T16:51:44Z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0x010100EF1663E61BE9AF4CB41523AF82182D39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