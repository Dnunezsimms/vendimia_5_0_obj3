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nchaytoro365.sharepoint.com/sites/Vendimia5-0/UC/Proyecto/Madurez uva - IC/Muestreo Madurez equipo viticultura y enología/Temporada 2026/1_DATA_RAW/campo/madurez/"/>
    </mc:Choice>
  </mc:AlternateContent>
  <xr:revisionPtr revIDLastSave="3090" documentId="8_{6D70A8D5-CFAA-4C5A-8DB9-093222F5B2F6}" xr6:coauthVersionLast="47" xr6:coauthVersionMax="47" xr10:uidLastSave="{98A745FD-8912-4F81-B3C1-4E3EAEEF8812}"/>
  <bookViews>
    <workbookView xWindow="28680" yWindow="-3705" windowWidth="19440" windowHeight="15000" firstSheet="8" activeTab="11" xr2:uid="{0EC660FD-841C-419D-AD09-6C012600D2E7}"/>
  </bookViews>
  <sheets>
    <sheet name="Muestras Tintas" sheetId="1" r:id="rId1"/>
    <sheet name="CS-Idahue" sheetId="5" r:id="rId2"/>
    <sheet name="CS-Nilahue" sheetId="6" r:id="rId3"/>
    <sheet name="CA-Peumo" sheetId="7" r:id="rId4"/>
    <sheet name="CS-Keule" sheetId="10" r:id="rId5"/>
    <sheet name="CA-Villa_Alegre" sheetId="2" r:id="rId6"/>
    <sheet name="CS-Lourdes" sheetId="12" r:id="rId7"/>
    <sheet name="CA-Lourdes" sheetId="11" r:id="rId8"/>
    <sheet name="CA-Quinta_Maipo" sheetId="4" r:id="rId9"/>
    <sheet name="CS-San_Adolfo" sheetId="3" r:id="rId10"/>
    <sheet name="CA-Palo_Santo" sheetId="8" r:id="rId11"/>
    <sheet name="CS-Quebrada_Agua" sheetId="9" r:id="rId12"/>
    <sheet name="CA-Rucahue" sheetId="14" r:id="rId13"/>
  </sheets>
  <definedNames>
    <definedName name="_xlnm._FilterDatabase" localSheetId="1" hidden="1">'CS-Idahue'!$K$17:$K$28</definedName>
    <definedName name="_xlnm._FilterDatabase" localSheetId="0" hidden="1">'Muestras Tintas'!$A$1:$S$160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2" i="1"/>
  <c r="C22" i="6"/>
  <c r="A32" i="7"/>
  <c r="B32" i="7"/>
  <c r="C32" i="7"/>
  <c r="D32" i="7"/>
  <c r="E32" i="7"/>
  <c r="F32" i="7"/>
  <c r="H32" i="7"/>
  <c r="I32" i="7"/>
  <c r="J32" i="7"/>
  <c r="K32" i="7"/>
  <c r="L32" i="7"/>
  <c r="N32" i="7"/>
  <c r="Q85" i="1"/>
  <c r="M85" i="1"/>
  <c r="N85" i="1" s="1"/>
  <c r="A31" i="7"/>
  <c r="B31" i="7"/>
  <c r="C31" i="7"/>
  <c r="D31" i="7"/>
  <c r="E31" i="7"/>
  <c r="F31" i="7"/>
  <c r="H31" i="7"/>
  <c r="I31" i="7"/>
  <c r="J31" i="7"/>
  <c r="K31" i="7"/>
  <c r="L31" i="7"/>
  <c r="N31" i="7"/>
  <c r="Q70" i="1"/>
  <c r="M70" i="1"/>
  <c r="A4" i="14"/>
  <c r="B4" i="14"/>
  <c r="C4" i="14"/>
  <c r="D4" i="14"/>
  <c r="E4" i="14"/>
  <c r="F4" i="14"/>
  <c r="I4" i="14"/>
  <c r="J4" i="14"/>
  <c r="K4" i="14"/>
  <c r="L4" i="14"/>
  <c r="N4" i="14"/>
  <c r="A5" i="14"/>
  <c r="B5" i="14"/>
  <c r="C5" i="14"/>
  <c r="D5" i="14"/>
  <c r="E5" i="14"/>
  <c r="F5" i="14"/>
  <c r="I5" i="14"/>
  <c r="J5" i="14"/>
  <c r="K5" i="14"/>
  <c r="L5" i="14"/>
  <c r="N5" i="14"/>
  <c r="A6" i="14"/>
  <c r="B6" i="14"/>
  <c r="C6" i="14"/>
  <c r="D6" i="14"/>
  <c r="E6" i="14"/>
  <c r="F6" i="14"/>
  <c r="I6" i="14"/>
  <c r="J6" i="14"/>
  <c r="K6" i="14"/>
  <c r="L6" i="14"/>
  <c r="N6" i="14"/>
  <c r="A7" i="14"/>
  <c r="B7" i="14"/>
  <c r="C7" i="14"/>
  <c r="D7" i="14"/>
  <c r="E7" i="14"/>
  <c r="F7" i="14"/>
  <c r="I7" i="14"/>
  <c r="J7" i="14"/>
  <c r="K7" i="14"/>
  <c r="L7" i="14"/>
  <c r="N7" i="14"/>
  <c r="A8" i="14"/>
  <c r="B8" i="14"/>
  <c r="C8" i="14"/>
  <c r="D8" i="14"/>
  <c r="E8" i="14"/>
  <c r="F8" i="14"/>
  <c r="I8" i="14"/>
  <c r="J8" i="14"/>
  <c r="K8" i="14"/>
  <c r="L8" i="14"/>
  <c r="N8" i="14"/>
  <c r="A9" i="14"/>
  <c r="B9" i="14"/>
  <c r="C9" i="14"/>
  <c r="D9" i="14"/>
  <c r="E9" i="14"/>
  <c r="F9" i="14"/>
  <c r="I9" i="14"/>
  <c r="J9" i="14"/>
  <c r="K9" i="14"/>
  <c r="L9" i="14"/>
  <c r="N9" i="14"/>
  <c r="A10" i="14"/>
  <c r="B10" i="14"/>
  <c r="C10" i="14"/>
  <c r="D10" i="14"/>
  <c r="E10" i="14"/>
  <c r="F10" i="14"/>
  <c r="I10" i="14"/>
  <c r="J10" i="14"/>
  <c r="K10" i="14"/>
  <c r="L10" i="14"/>
  <c r="N10" i="14"/>
  <c r="A11" i="14"/>
  <c r="B11" i="14"/>
  <c r="C11" i="14"/>
  <c r="D11" i="14"/>
  <c r="E11" i="14"/>
  <c r="F11" i="14"/>
  <c r="I11" i="14"/>
  <c r="J11" i="14"/>
  <c r="K11" i="14"/>
  <c r="L11" i="14"/>
  <c r="N11" i="14"/>
  <c r="A12" i="14"/>
  <c r="B12" i="14"/>
  <c r="C12" i="14"/>
  <c r="D12" i="14"/>
  <c r="E12" i="14"/>
  <c r="F12" i="14"/>
  <c r="I12" i="14"/>
  <c r="J12" i="14"/>
  <c r="K12" i="14"/>
  <c r="L12" i="14"/>
  <c r="N12" i="14"/>
  <c r="A13" i="14"/>
  <c r="B13" i="14"/>
  <c r="C13" i="14"/>
  <c r="D13" i="14"/>
  <c r="E13" i="14"/>
  <c r="F13" i="14"/>
  <c r="H13" i="14"/>
  <c r="I13" i="14"/>
  <c r="J13" i="14"/>
  <c r="K13" i="14"/>
  <c r="L13" i="14"/>
  <c r="N13" i="14"/>
  <c r="A14" i="14"/>
  <c r="B14" i="14"/>
  <c r="C14" i="14"/>
  <c r="D14" i="14"/>
  <c r="E14" i="14"/>
  <c r="F14" i="14"/>
  <c r="H14" i="14"/>
  <c r="I14" i="14"/>
  <c r="J14" i="14"/>
  <c r="K14" i="14"/>
  <c r="L14" i="14"/>
  <c r="N14" i="14"/>
  <c r="A15" i="14"/>
  <c r="B15" i="14"/>
  <c r="C15" i="14"/>
  <c r="D15" i="14"/>
  <c r="E15" i="14"/>
  <c r="F15" i="14"/>
  <c r="H15" i="14"/>
  <c r="I15" i="14"/>
  <c r="J15" i="14"/>
  <c r="K15" i="14"/>
  <c r="L15" i="14"/>
  <c r="N15" i="14"/>
  <c r="A16" i="14"/>
  <c r="B16" i="14"/>
  <c r="C16" i="14"/>
  <c r="D16" i="14"/>
  <c r="E16" i="14"/>
  <c r="F16" i="14"/>
  <c r="H16" i="14"/>
  <c r="I16" i="14"/>
  <c r="J16" i="14"/>
  <c r="K16" i="14"/>
  <c r="L16" i="14"/>
  <c r="N16" i="14"/>
  <c r="M160" i="1"/>
  <c r="M16" i="14" s="1"/>
  <c r="A30" i="12"/>
  <c r="B30" i="12"/>
  <c r="C30" i="12"/>
  <c r="D30" i="12"/>
  <c r="E30" i="12"/>
  <c r="F30" i="12"/>
  <c r="H30" i="12"/>
  <c r="I30" i="12"/>
  <c r="J30" i="12"/>
  <c r="K30" i="12"/>
  <c r="L30" i="12"/>
  <c r="N30" i="12"/>
  <c r="A29" i="8"/>
  <c r="B29" i="8"/>
  <c r="C29" i="8"/>
  <c r="D29" i="8"/>
  <c r="E29" i="8"/>
  <c r="F29" i="8"/>
  <c r="H29" i="8"/>
  <c r="I29" i="8"/>
  <c r="J29" i="8"/>
  <c r="K29" i="8"/>
  <c r="L29" i="8"/>
  <c r="N29" i="8"/>
  <c r="A30" i="8"/>
  <c r="B30" i="8"/>
  <c r="C30" i="8"/>
  <c r="D30" i="8"/>
  <c r="E30" i="8"/>
  <c r="F30" i="8"/>
  <c r="H30" i="8"/>
  <c r="I30" i="8"/>
  <c r="J30" i="8"/>
  <c r="K30" i="8"/>
  <c r="L30" i="8"/>
  <c r="N30" i="8"/>
  <c r="A31" i="8"/>
  <c r="B31" i="8"/>
  <c r="C31" i="8"/>
  <c r="D31" i="8"/>
  <c r="E31" i="8"/>
  <c r="F31" i="8"/>
  <c r="H31" i="8"/>
  <c r="I31" i="8"/>
  <c r="J31" i="8"/>
  <c r="K31" i="8"/>
  <c r="L31" i="8"/>
  <c r="N31" i="8"/>
  <c r="A27" i="3"/>
  <c r="B27" i="3"/>
  <c r="C27" i="3"/>
  <c r="D27" i="3"/>
  <c r="E27" i="3"/>
  <c r="F27" i="3"/>
  <c r="I27" i="3"/>
  <c r="J27" i="3"/>
  <c r="K27" i="3"/>
  <c r="L27" i="3"/>
  <c r="N27" i="3"/>
  <c r="A28" i="3"/>
  <c r="B28" i="3"/>
  <c r="C28" i="3"/>
  <c r="D28" i="3"/>
  <c r="E28" i="3"/>
  <c r="F28" i="3"/>
  <c r="I28" i="3"/>
  <c r="J28" i="3"/>
  <c r="K28" i="3"/>
  <c r="L28" i="3"/>
  <c r="N28" i="3"/>
  <c r="A29" i="3"/>
  <c r="B29" i="3"/>
  <c r="C29" i="3"/>
  <c r="D29" i="3"/>
  <c r="E29" i="3"/>
  <c r="F29" i="3"/>
  <c r="I29" i="3"/>
  <c r="J29" i="3"/>
  <c r="K29" i="3"/>
  <c r="L29" i="3"/>
  <c r="N29" i="3"/>
  <c r="A27" i="4"/>
  <c r="B27" i="4"/>
  <c r="C27" i="4"/>
  <c r="D27" i="4"/>
  <c r="E27" i="4"/>
  <c r="F27" i="4"/>
  <c r="H27" i="4"/>
  <c r="I27" i="4"/>
  <c r="J27" i="4"/>
  <c r="K27" i="4"/>
  <c r="L27" i="4"/>
  <c r="N27" i="4"/>
  <c r="A28" i="4"/>
  <c r="B28" i="4"/>
  <c r="C28" i="4"/>
  <c r="D28" i="4"/>
  <c r="E28" i="4"/>
  <c r="F28" i="4"/>
  <c r="H28" i="4"/>
  <c r="I28" i="4"/>
  <c r="J28" i="4"/>
  <c r="K28" i="4"/>
  <c r="L28" i="4"/>
  <c r="N28" i="4"/>
  <c r="A29" i="4"/>
  <c r="B29" i="4"/>
  <c r="C29" i="4"/>
  <c r="D29" i="4"/>
  <c r="E29" i="4"/>
  <c r="F29" i="4"/>
  <c r="H29" i="4"/>
  <c r="I29" i="4"/>
  <c r="J29" i="4"/>
  <c r="K29" i="4"/>
  <c r="L29" i="4"/>
  <c r="N29" i="4"/>
  <c r="A28" i="11"/>
  <c r="B28" i="11"/>
  <c r="C28" i="11"/>
  <c r="D28" i="11"/>
  <c r="E28" i="11"/>
  <c r="F28" i="11"/>
  <c r="H28" i="11"/>
  <c r="I28" i="11"/>
  <c r="J28" i="11"/>
  <c r="K28" i="11"/>
  <c r="L28" i="11"/>
  <c r="M28" i="11"/>
  <c r="N28" i="11"/>
  <c r="A25" i="11"/>
  <c r="B25" i="11"/>
  <c r="C25" i="11"/>
  <c r="D25" i="11"/>
  <c r="E25" i="11"/>
  <c r="F25" i="11"/>
  <c r="H25" i="11"/>
  <c r="I25" i="11"/>
  <c r="J25" i="11"/>
  <c r="K25" i="11"/>
  <c r="L25" i="11"/>
  <c r="N25" i="11"/>
  <c r="A26" i="11"/>
  <c r="B26" i="11"/>
  <c r="C26" i="11"/>
  <c r="D26" i="11"/>
  <c r="E26" i="11"/>
  <c r="F26" i="11"/>
  <c r="H26" i="11"/>
  <c r="I26" i="11"/>
  <c r="J26" i="11"/>
  <c r="K26" i="11"/>
  <c r="L26" i="11"/>
  <c r="N26" i="11"/>
  <c r="A27" i="11"/>
  <c r="B27" i="11"/>
  <c r="C27" i="11"/>
  <c r="D27" i="11"/>
  <c r="E27" i="11"/>
  <c r="F27" i="11"/>
  <c r="H27" i="11"/>
  <c r="I27" i="11"/>
  <c r="J27" i="11"/>
  <c r="K27" i="11"/>
  <c r="L27" i="11"/>
  <c r="N27" i="11"/>
  <c r="A27" i="12"/>
  <c r="B27" i="12"/>
  <c r="C27" i="12"/>
  <c r="D27" i="12"/>
  <c r="E27" i="12"/>
  <c r="F27" i="12"/>
  <c r="H27" i="12"/>
  <c r="I27" i="12"/>
  <c r="J27" i="12"/>
  <c r="K27" i="12"/>
  <c r="L27" i="12"/>
  <c r="N27" i="12"/>
  <c r="A28" i="12"/>
  <c r="B28" i="12"/>
  <c r="C28" i="12"/>
  <c r="D28" i="12"/>
  <c r="E28" i="12"/>
  <c r="F28" i="12"/>
  <c r="H28" i="12"/>
  <c r="I28" i="12"/>
  <c r="J28" i="12"/>
  <c r="K28" i="12"/>
  <c r="L28" i="12"/>
  <c r="N28" i="12"/>
  <c r="A29" i="12"/>
  <c r="B29" i="12"/>
  <c r="C29" i="12"/>
  <c r="D29" i="12"/>
  <c r="E29" i="12"/>
  <c r="F29" i="12"/>
  <c r="H29" i="12"/>
  <c r="I29" i="12"/>
  <c r="J29" i="12"/>
  <c r="K29" i="12"/>
  <c r="L29" i="12"/>
  <c r="N29" i="12"/>
  <c r="A25" i="2"/>
  <c r="B25" i="2"/>
  <c r="C25" i="2"/>
  <c r="D25" i="2"/>
  <c r="E25" i="2"/>
  <c r="F25" i="2"/>
  <c r="H25" i="2"/>
  <c r="I25" i="2"/>
  <c r="J25" i="2"/>
  <c r="K25" i="2"/>
  <c r="L25" i="2"/>
  <c r="N25" i="2"/>
  <c r="A21" i="2"/>
  <c r="B21" i="2"/>
  <c r="C21" i="2"/>
  <c r="D21" i="2"/>
  <c r="E21" i="2"/>
  <c r="F21" i="2"/>
  <c r="H21" i="2"/>
  <c r="I21" i="2"/>
  <c r="J21" i="2"/>
  <c r="K21" i="2"/>
  <c r="L21" i="2"/>
  <c r="N21" i="2"/>
  <c r="A22" i="2"/>
  <c r="B22" i="2"/>
  <c r="C22" i="2"/>
  <c r="D22" i="2"/>
  <c r="E22" i="2"/>
  <c r="F22" i="2"/>
  <c r="H22" i="2"/>
  <c r="I22" i="2"/>
  <c r="J22" i="2"/>
  <c r="K22" i="2"/>
  <c r="L22" i="2"/>
  <c r="N22" i="2"/>
  <c r="A23" i="2"/>
  <c r="B23" i="2"/>
  <c r="C23" i="2"/>
  <c r="D23" i="2"/>
  <c r="E23" i="2"/>
  <c r="F23" i="2"/>
  <c r="H23" i="2"/>
  <c r="I23" i="2"/>
  <c r="J23" i="2"/>
  <c r="K23" i="2"/>
  <c r="L23" i="2"/>
  <c r="N23" i="2"/>
  <c r="A24" i="2"/>
  <c r="B24" i="2"/>
  <c r="C24" i="2"/>
  <c r="D24" i="2"/>
  <c r="E24" i="2"/>
  <c r="F24" i="2"/>
  <c r="H24" i="2"/>
  <c r="I24" i="2"/>
  <c r="J24" i="2"/>
  <c r="K24" i="2"/>
  <c r="L24" i="2"/>
  <c r="N24" i="2"/>
  <c r="A27" i="10"/>
  <c r="B27" i="10"/>
  <c r="C27" i="10"/>
  <c r="D27" i="10"/>
  <c r="E27" i="10"/>
  <c r="F27" i="10"/>
  <c r="H27" i="10"/>
  <c r="I27" i="10"/>
  <c r="J27" i="10"/>
  <c r="K27" i="10"/>
  <c r="L27" i="10"/>
  <c r="N27" i="10"/>
  <c r="A28" i="10"/>
  <c r="B28" i="10"/>
  <c r="C28" i="10"/>
  <c r="D28" i="10"/>
  <c r="E28" i="10"/>
  <c r="F28" i="10"/>
  <c r="H28" i="10"/>
  <c r="I28" i="10"/>
  <c r="J28" i="10"/>
  <c r="K28" i="10"/>
  <c r="L28" i="10"/>
  <c r="N28" i="10"/>
  <c r="A29" i="10"/>
  <c r="B29" i="10"/>
  <c r="C29" i="10"/>
  <c r="D29" i="10"/>
  <c r="E29" i="10"/>
  <c r="F29" i="10"/>
  <c r="H29" i="10"/>
  <c r="I29" i="10"/>
  <c r="J29" i="10"/>
  <c r="K29" i="10"/>
  <c r="L29" i="10"/>
  <c r="N29" i="10"/>
  <c r="A29" i="7"/>
  <c r="B29" i="7"/>
  <c r="C29" i="7"/>
  <c r="D29" i="7"/>
  <c r="E29" i="7"/>
  <c r="F29" i="7"/>
  <c r="H29" i="7"/>
  <c r="I29" i="7"/>
  <c r="J29" i="7"/>
  <c r="K29" i="7"/>
  <c r="L29" i="7"/>
  <c r="N29" i="7"/>
  <c r="A30" i="7"/>
  <c r="B30" i="7"/>
  <c r="C30" i="7"/>
  <c r="D30" i="7"/>
  <c r="E30" i="7"/>
  <c r="F30" i="7"/>
  <c r="H30" i="7"/>
  <c r="I30" i="7"/>
  <c r="J30" i="7"/>
  <c r="K30" i="7"/>
  <c r="L30" i="7"/>
  <c r="A31" i="6"/>
  <c r="B31" i="6"/>
  <c r="C31" i="6"/>
  <c r="D31" i="6"/>
  <c r="E31" i="6"/>
  <c r="F31" i="6"/>
  <c r="H31" i="6"/>
  <c r="I31" i="6"/>
  <c r="J31" i="6"/>
  <c r="K31" i="6"/>
  <c r="L31" i="6"/>
  <c r="N31" i="6"/>
  <c r="A29" i="5"/>
  <c r="B29" i="5"/>
  <c r="C29" i="5"/>
  <c r="D29" i="5"/>
  <c r="E29" i="5"/>
  <c r="F29" i="5"/>
  <c r="H29" i="5"/>
  <c r="I29" i="5"/>
  <c r="J29" i="5"/>
  <c r="K29" i="5"/>
  <c r="L29" i="5"/>
  <c r="N29" i="5"/>
  <c r="A30" i="5"/>
  <c r="B30" i="5"/>
  <c r="C30" i="5"/>
  <c r="D30" i="5"/>
  <c r="E30" i="5"/>
  <c r="F30" i="5"/>
  <c r="H30" i="5"/>
  <c r="I30" i="5"/>
  <c r="J30" i="5"/>
  <c r="K30" i="5"/>
  <c r="L30" i="5"/>
  <c r="N30" i="5"/>
  <c r="I27" i="5"/>
  <c r="M84" i="1"/>
  <c r="M31" i="8" s="1"/>
  <c r="N84" i="1"/>
  <c r="Q84" i="1"/>
  <c r="Q147" i="1"/>
  <c r="M147" i="1"/>
  <c r="M30" i="12" s="1"/>
  <c r="Q108" i="1"/>
  <c r="M108" i="1"/>
  <c r="M29" i="10" s="1"/>
  <c r="Q83" i="1"/>
  <c r="M83" i="1"/>
  <c r="M30" i="8" s="1"/>
  <c r="Q159" i="1"/>
  <c r="Q160" i="1"/>
  <c r="M159" i="1"/>
  <c r="M15" i="14" s="1"/>
  <c r="Q68" i="1"/>
  <c r="Q69" i="1"/>
  <c r="M68" i="1"/>
  <c r="M30" i="7" s="1"/>
  <c r="N68" i="1"/>
  <c r="M69" i="1"/>
  <c r="M31" i="7" s="1"/>
  <c r="Q55" i="1"/>
  <c r="M55" i="1"/>
  <c r="M31" i="6" s="1"/>
  <c r="Q28" i="1"/>
  <c r="Q29" i="1"/>
  <c r="M28" i="1"/>
  <c r="M29" i="4" s="1"/>
  <c r="M29" i="1"/>
  <c r="N29" i="1" s="1"/>
  <c r="Q14" i="1"/>
  <c r="Q15" i="1"/>
  <c r="M14" i="1"/>
  <c r="M29" i="3" s="1"/>
  <c r="M15" i="1"/>
  <c r="N15" i="1" s="1"/>
  <c r="G14" i="1"/>
  <c r="H29" i="3" s="1"/>
  <c r="Q145" i="1"/>
  <c r="Q146" i="1"/>
  <c r="M145" i="1"/>
  <c r="M28" i="12" s="1"/>
  <c r="M146" i="1"/>
  <c r="M29" i="12" s="1"/>
  <c r="K26" i="12"/>
  <c r="Q107" i="1"/>
  <c r="M107" i="1"/>
  <c r="M28" i="10" s="1"/>
  <c r="N107" i="1"/>
  <c r="M27" i="1"/>
  <c r="M28" i="4" s="1"/>
  <c r="Q119" i="1"/>
  <c r="Q120" i="1"/>
  <c r="M119" i="1"/>
  <c r="M24" i="2" s="1"/>
  <c r="M120" i="1"/>
  <c r="M25" i="2" s="1"/>
  <c r="K28" i="5"/>
  <c r="Q106" i="1"/>
  <c r="M106" i="1"/>
  <c r="M27" i="10" s="1"/>
  <c r="Q67" i="1"/>
  <c r="M67" i="1"/>
  <c r="M29" i="7" s="1"/>
  <c r="Q158" i="1"/>
  <c r="Q157" i="1"/>
  <c r="M158" i="1"/>
  <c r="M157" i="1"/>
  <c r="Q82" i="1"/>
  <c r="M82" i="1"/>
  <c r="M29" i="8" s="1"/>
  <c r="M42" i="1"/>
  <c r="M30" i="5" s="1"/>
  <c r="Q42" i="1"/>
  <c r="Q41" i="1"/>
  <c r="M41" i="1"/>
  <c r="M29" i="5" s="1"/>
  <c r="Q30" i="1"/>
  <c r="Q27" i="1"/>
  <c r="Q26" i="1"/>
  <c r="M26" i="1"/>
  <c r="M27" i="4" s="1"/>
  <c r="M13" i="1"/>
  <c r="M28" i="3" s="1"/>
  <c r="Q12" i="1"/>
  <c r="Q13" i="1"/>
  <c r="M12" i="1"/>
  <c r="M27" i="3" s="1"/>
  <c r="G13" i="1"/>
  <c r="H28" i="3" s="1"/>
  <c r="G12" i="1"/>
  <c r="H27" i="3" s="1"/>
  <c r="Q117" i="1"/>
  <c r="M117" i="1"/>
  <c r="M22" i="2" s="1"/>
  <c r="N117" i="1"/>
  <c r="M118" i="1"/>
  <c r="M23" i="2" s="1"/>
  <c r="N118" i="1"/>
  <c r="Q131" i="1"/>
  <c r="Q132" i="1"/>
  <c r="M131" i="1"/>
  <c r="M26" i="11" s="1"/>
  <c r="M132" i="1"/>
  <c r="M27" i="11" s="1"/>
  <c r="Q144" i="1"/>
  <c r="M144" i="1"/>
  <c r="M27" i="12" s="1"/>
  <c r="I25" i="12"/>
  <c r="M102" i="1"/>
  <c r="N102" i="1" s="1"/>
  <c r="Q116" i="1"/>
  <c r="Q118" i="1"/>
  <c r="M116" i="1"/>
  <c r="M21" i="2" s="1"/>
  <c r="Q130" i="1"/>
  <c r="M130" i="1"/>
  <c r="M25" i="11" s="1"/>
  <c r="L18" i="12"/>
  <c r="N18" i="12"/>
  <c r="L19" i="12"/>
  <c r="N19" i="12"/>
  <c r="L20" i="12"/>
  <c r="N20" i="12"/>
  <c r="L21" i="12"/>
  <c r="N21" i="12"/>
  <c r="L22" i="12"/>
  <c r="N22" i="12"/>
  <c r="L23" i="12"/>
  <c r="N23" i="12"/>
  <c r="L24" i="12"/>
  <c r="N24" i="12"/>
  <c r="L25" i="12"/>
  <c r="N25" i="12"/>
  <c r="L26" i="12"/>
  <c r="N26" i="12"/>
  <c r="N17" i="12"/>
  <c r="L17" i="12"/>
  <c r="B17" i="12"/>
  <c r="C17" i="12"/>
  <c r="D17" i="12"/>
  <c r="E17" i="12"/>
  <c r="F17" i="12"/>
  <c r="I17" i="12"/>
  <c r="J17" i="12"/>
  <c r="K17" i="12"/>
  <c r="B18" i="12"/>
  <c r="C18" i="12"/>
  <c r="D18" i="12"/>
  <c r="E18" i="12"/>
  <c r="F18" i="12"/>
  <c r="I18" i="12"/>
  <c r="J18" i="12"/>
  <c r="K18" i="12"/>
  <c r="B19" i="12"/>
  <c r="C19" i="12"/>
  <c r="D19" i="12"/>
  <c r="E19" i="12"/>
  <c r="F19" i="12"/>
  <c r="I19" i="12"/>
  <c r="J19" i="12"/>
  <c r="K19" i="12"/>
  <c r="B20" i="12"/>
  <c r="C20" i="12"/>
  <c r="D20" i="12"/>
  <c r="E20" i="12"/>
  <c r="F20" i="12"/>
  <c r="I20" i="12"/>
  <c r="J20" i="12"/>
  <c r="K20" i="12"/>
  <c r="B21" i="12"/>
  <c r="C21" i="12"/>
  <c r="D21" i="12"/>
  <c r="E21" i="12"/>
  <c r="F21" i="12"/>
  <c r="I21" i="12"/>
  <c r="J21" i="12"/>
  <c r="K21" i="12"/>
  <c r="B22" i="12"/>
  <c r="C22" i="12"/>
  <c r="D22" i="12"/>
  <c r="E22" i="12"/>
  <c r="F22" i="12"/>
  <c r="I22" i="12"/>
  <c r="J22" i="12"/>
  <c r="K22" i="12"/>
  <c r="B23" i="12"/>
  <c r="C23" i="12"/>
  <c r="D23" i="12"/>
  <c r="E23" i="12"/>
  <c r="F23" i="12"/>
  <c r="I23" i="12"/>
  <c r="J23" i="12"/>
  <c r="K23" i="12"/>
  <c r="B24" i="12"/>
  <c r="C24" i="12"/>
  <c r="D24" i="12"/>
  <c r="E24" i="12"/>
  <c r="F24" i="12"/>
  <c r="I24" i="12"/>
  <c r="J24" i="12"/>
  <c r="K24" i="12"/>
  <c r="B25" i="12"/>
  <c r="C25" i="12"/>
  <c r="D25" i="12"/>
  <c r="E25" i="12"/>
  <c r="F25" i="12"/>
  <c r="J25" i="12"/>
  <c r="K25" i="12"/>
  <c r="B26" i="12"/>
  <c r="C26" i="12"/>
  <c r="D26" i="12"/>
  <c r="E26" i="12"/>
  <c r="F26" i="12"/>
  <c r="H26" i="12"/>
  <c r="I26" i="12"/>
  <c r="J26" i="12"/>
  <c r="A18" i="12"/>
  <c r="A19" i="12"/>
  <c r="A20" i="12"/>
  <c r="A21" i="12"/>
  <c r="A22" i="12"/>
  <c r="A23" i="12"/>
  <c r="A24" i="12"/>
  <c r="A25" i="12"/>
  <c r="A26" i="12"/>
  <c r="A17" i="12"/>
  <c r="L17" i="11"/>
  <c r="N17" i="11"/>
  <c r="L18" i="11"/>
  <c r="N18" i="11"/>
  <c r="L19" i="11"/>
  <c r="N19" i="11"/>
  <c r="L20" i="11"/>
  <c r="N20" i="11"/>
  <c r="L21" i="11"/>
  <c r="N21" i="11"/>
  <c r="L22" i="11"/>
  <c r="N22" i="11"/>
  <c r="L23" i="11"/>
  <c r="N23" i="11"/>
  <c r="L24" i="11"/>
  <c r="N24" i="11"/>
  <c r="N16" i="11"/>
  <c r="L16" i="11"/>
  <c r="B16" i="11"/>
  <c r="C16" i="11"/>
  <c r="D16" i="11"/>
  <c r="E16" i="11"/>
  <c r="F16" i="11"/>
  <c r="I16" i="11"/>
  <c r="J16" i="11"/>
  <c r="K16" i="11"/>
  <c r="B17" i="11"/>
  <c r="C17" i="11"/>
  <c r="D17" i="11"/>
  <c r="E17" i="11"/>
  <c r="F17" i="11"/>
  <c r="I17" i="11"/>
  <c r="J17" i="11"/>
  <c r="K17" i="11"/>
  <c r="B18" i="11"/>
  <c r="C18" i="11"/>
  <c r="D18" i="11"/>
  <c r="E18" i="11"/>
  <c r="F18" i="11"/>
  <c r="I18" i="11"/>
  <c r="J18" i="11"/>
  <c r="K18" i="11"/>
  <c r="B19" i="11"/>
  <c r="C19" i="11"/>
  <c r="D19" i="11"/>
  <c r="E19" i="11"/>
  <c r="F19" i="11"/>
  <c r="I19" i="11"/>
  <c r="J19" i="11"/>
  <c r="K19" i="11"/>
  <c r="B20" i="11"/>
  <c r="C20" i="11"/>
  <c r="D20" i="11"/>
  <c r="E20" i="11"/>
  <c r="F20" i="11"/>
  <c r="I20" i="11"/>
  <c r="J20" i="11"/>
  <c r="K20" i="11"/>
  <c r="B21" i="11"/>
  <c r="C21" i="11"/>
  <c r="D21" i="11"/>
  <c r="E21" i="11"/>
  <c r="F21" i="11"/>
  <c r="I21" i="11"/>
  <c r="J21" i="11"/>
  <c r="K21" i="11"/>
  <c r="B22" i="11"/>
  <c r="C22" i="11"/>
  <c r="D22" i="11"/>
  <c r="E22" i="11"/>
  <c r="F22" i="11"/>
  <c r="I22" i="11"/>
  <c r="J22" i="11"/>
  <c r="K22" i="11"/>
  <c r="B23" i="11"/>
  <c r="C23" i="11"/>
  <c r="D23" i="11"/>
  <c r="E23" i="11"/>
  <c r="F23" i="11"/>
  <c r="I23" i="11"/>
  <c r="J23" i="11"/>
  <c r="K23" i="11"/>
  <c r="B24" i="11"/>
  <c r="C24" i="11"/>
  <c r="D24" i="11"/>
  <c r="E24" i="11"/>
  <c r="F24" i="11"/>
  <c r="I24" i="11"/>
  <c r="J24" i="11"/>
  <c r="K24" i="11"/>
  <c r="A24" i="11"/>
  <c r="A17" i="11"/>
  <c r="A18" i="11"/>
  <c r="A19" i="11"/>
  <c r="A20" i="11"/>
  <c r="A21" i="11"/>
  <c r="A22" i="11"/>
  <c r="A23" i="11"/>
  <c r="A16" i="11"/>
  <c r="L18" i="10"/>
  <c r="N18" i="10"/>
  <c r="L19" i="10"/>
  <c r="N19" i="10"/>
  <c r="L20" i="10"/>
  <c r="N20" i="10"/>
  <c r="L21" i="10"/>
  <c r="N21" i="10"/>
  <c r="L22" i="10"/>
  <c r="N22" i="10"/>
  <c r="L23" i="10"/>
  <c r="N23" i="10"/>
  <c r="L24" i="10"/>
  <c r="N24" i="10"/>
  <c r="L25" i="10"/>
  <c r="N25" i="10"/>
  <c r="L26" i="10"/>
  <c r="N26" i="10"/>
  <c r="N17" i="10"/>
  <c r="L17" i="10"/>
  <c r="B17" i="10"/>
  <c r="C17" i="10"/>
  <c r="D17" i="10"/>
  <c r="E17" i="10"/>
  <c r="F17" i="10"/>
  <c r="I17" i="10"/>
  <c r="J17" i="10"/>
  <c r="K17" i="10"/>
  <c r="B18" i="10"/>
  <c r="C18" i="10"/>
  <c r="D18" i="10"/>
  <c r="E18" i="10"/>
  <c r="F18" i="10"/>
  <c r="I18" i="10"/>
  <c r="J18" i="10"/>
  <c r="K18" i="10"/>
  <c r="B19" i="10"/>
  <c r="C19" i="10"/>
  <c r="D19" i="10"/>
  <c r="E19" i="10"/>
  <c r="F19" i="10"/>
  <c r="I19" i="10"/>
  <c r="J19" i="10"/>
  <c r="K19" i="10"/>
  <c r="B20" i="10"/>
  <c r="C20" i="10"/>
  <c r="D20" i="10"/>
  <c r="E20" i="10"/>
  <c r="F20" i="10"/>
  <c r="I20" i="10"/>
  <c r="J20" i="10"/>
  <c r="K20" i="10"/>
  <c r="B21" i="10"/>
  <c r="C21" i="10"/>
  <c r="D21" i="10"/>
  <c r="E21" i="10"/>
  <c r="F21" i="10"/>
  <c r="I21" i="10"/>
  <c r="J21" i="10"/>
  <c r="K21" i="10"/>
  <c r="B22" i="10"/>
  <c r="C22" i="10"/>
  <c r="D22" i="10"/>
  <c r="E22" i="10"/>
  <c r="F22" i="10"/>
  <c r="I22" i="10"/>
  <c r="J22" i="10"/>
  <c r="K22" i="10"/>
  <c r="B23" i="10"/>
  <c r="C23" i="10"/>
  <c r="D23" i="10"/>
  <c r="E23" i="10"/>
  <c r="F23" i="10"/>
  <c r="I23" i="10"/>
  <c r="J23" i="10"/>
  <c r="K23" i="10"/>
  <c r="B24" i="10"/>
  <c r="C24" i="10"/>
  <c r="D24" i="10"/>
  <c r="E24" i="10"/>
  <c r="F24" i="10"/>
  <c r="I24" i="10"/>
  <c r="J24" i="10"/>
  <c r="K24" i="10"/>
  <c r="B25" i="10"/>
  <c r="C25" i="10"/>
  <c r="D25" i="10"/>
  <c r="E25" i="10"/>
  <c r="F25" i="10"/>
  <c r="I25" i="10"/>
  <c r="J25" i="10"/>
  <c r="K25" i="10"/>
  <c r="B26" i="10"/>
  <c r="C26" i="10"/>
  <c r="D26" i="10"/>
  <c r="E26" i="10"/>
  <c r="F26" i="10"/>
  <c r="H26" i="10"/>
  <c r="I26" i="10"/>
  <c r="J26" i="10"/>
  <c r="K26" i="10"/>
  <c r="A18" i="10"/>
  <c r="A19" i="10"/>
  <c r="A20" i="10"/>
  <c r="A21" i="10"/>
  <c r="A22" i="10"/>
  <c r="A23" i="10"/>
  <c r="A24" i="10"/>
  <c r="A25" i="10"/>
  <c r="A26" i="10"/>
  <c r="A17" i="10"/>
  <c r="L18" i="9"/>
  <c r="N18" i="9"/>
  <c r="L19" i="9"/>
  <c r="N19" i="9"/>
  <c r="L20" i="9"/>
  <c r="N20" i="9"/>
  <c r="L21" i="9"/>
  <c r="N21" i="9"/>
  <c r="L22" i="9"/>
  <c r="N22" i="9"/>
  <c r="L23" i="9"/>
  <c r="N23" i="9"/>
  <c r="L24" i="9"/>
  <c r="N24" i="9"/>
  <c r="L25" i="9"/>
  <c r="N25" i="9"/>
  <c r="L26" i="9"/>
  <c r="N26" i="9"/>
  <c r="N17" i="9"/>
  <c r="L17" i="9"/>
  <c r="B17" i="9"/>
  <c r="C17" i="9"/>
  <c r="D17" i="9"/>
  <c r="E17" i="9"/>
  <c r="F17" i="9"/>
  <c r="I17" i="9"/>
  <c r="J17" i="9"/>
  <c r="K17" i="9"/>
  <c r="B18" i="9"/>
  <c r="C18" i="9"/>
  <c r="D18" i="9"/>
  <c r="E18" i="9"/>
  <c r="F18" i="9"/>
  <c r="I18" i="9"/>
  <c r="J18" i="9"/>
  <c r="K18" i="9"/>
  <c r="B19" i="9"/>
  <c r="C19" i="9"/>
  <c r="D19" i="9"/>
  <c r="E19" i="9"/>
  <c r="F19" i="9"/>
  <c r="I19" i="9"/>
  <c r="J19" i="9"/>
  <c r="K19" i="9"/>
  <c r="B20" i="9"/>
  <c r="C20" i="9"/>
  <c r="D20" i="9"/>
  <c r="E20" i="9"/>
  <c r="F20" i="9"/>
  <c r="I20" i="9"/>
  <c r="J20" i="9"/>
  <c r="K20" i="9"/>
  <c r="B21" i="9"/>
  <c r="C21" i="9"/>
  <c r="D21" i="9"/>
  <c r="E21" i="9"/>
  <c r="F21" i="9"/>
  <c r="I21" i="9"/>
  <c r="J21" i="9"/>
  <c r="K21" i="9"/>
  <c r="B22" i="9"/>
  <c r="C22" i="9"/>
  <c r="D22" i="9"/>
  <c r="E22" i="9"/>
  <c r="F22" i="9"/>
  <c r="I22" i="9"/>
  <c r="J22" i="9"/>
  <c r="K22" i="9"/>
  <c r="B23" i="9"/>
  <c r="C23" i="9"/>
  <c r="D23" i="9"/>
  <c r="E23" i="9"/>
  <c r="F23" i="9"/>
  <c r="I23" i="9"/>
  <c r="J23" i="9"/>
  <c r="K23" i="9"/>
  <c r="B24" i="9"/>
  <c r="C24" i="9"/>
  <c r="D24" i="9"/>
  <c r="E24" i="9"/>
  <c r="F24" i="9"/>
  <c r="I24" i="9"/>
  <c r="J24" i="9"/>
  <c r="K24" i="9"/>
  <c r="B25" i="9"/>
  <c r="C25" i="9"/>
  <c r="D25" i="9"/>
  <c r="E25" i="9"/>
  <c r="F25" i="9"/>
  <c r="I25" i="9"/>
  <c r="J25" i="9"/>
  <c r="K25" i="9"/>
  <c r="B26" i="9"/>
  <c r="C26" i="9"/>
  <c r="D26" i="9"/>
  <c r="E26" i="9"/>
  <c r="F26" i="9"/>
  <c r="H26" i="9"/>
  <c r="I26" i="9"/>
  <c r="J26" i="9"/>
  <c r="K26" i="9"/>
  <c r="A26" i="9"/>
  <c r="A18" i="9"/>
  <c r="A19" i="9"/>
  <c r="A20" i="9"/>
  <c r="A21" i="9"/>
  <c r="A22" i="9"/>
  <c r="A23" i="9"/>
  <c r="A24" i="9"/>
  <c r="A25" i="9"/>
  <c r="A17" i="9"/>
  <c r="C14" i="8"/>
  <c r="C13" i="8"/>
  <c r="C12" i="8"/>
  <c r="C11" i="8"/>
  <c r="C10" i="8"/>
  <c r="C9" i="8"/>
  <c r="C8" i="8"/>
  <c r="C7" i="8"/>
  <c r="C6" i="8"/>
  <c r="C5" i="8"/>
  <c r="C4" i="8"/>
  <c r="N19" i="8"/>
  <c r="N20" i="8"/>
  <c r="N21" i="8"/>
  <c r="N22" i="8"/>
  <c r="N23" i="8"/>
  <c r="N24" i="8"/>
  <c r="N25" i="8"/>
  <c r="N26" i="8"/>
  <c r="N27" i="8"/>
  <c r="N28" i="8"/>
  <c r="N18" i="8"/>
  <c r="L19" i="8"/>
  <c r="L20" i="8"/>
  <c r="L21" i="8"/>
  <c r="L22" i="8"/>
  <c r="L23" i="8"/>
  <c r="L24" i="8"/>
  <c r="L25" i="8"/>
  <c r="L26" i="8"/>
  <c r="L27" i="8"/>
  <c r="L28" i="8"/>
  <c r="L18" i="8"/>
  <c r="B18" i="8"/>
  <c r="C18" i="8"/>
  <c r="D18" i="8"/>
  <c r="E18" i="8"/>
  <c r="F18" i="8"/>
  <c r="I18" i="8"/>
  <c r="J18" i="8"/>
  <c r="K18" i="8"/>
  <c r="B19" i="8"/>
  <c r="C19" i="8"/>
  <c r="D19" i="8"/>
  <c r="E19" i="8"/>
  <c r="F19" i="8"/>
  <c r="I19" i="8"/>
  <c r="J19" i="8"/>
  <c r="K19" i="8"/>
  <c r="B20" i="8"/>
  <c r="C20" i="8"/>
  <c r="D20" i="8"/>
  <c r="E20" i="8"/>
  <c r="F20" i="8"/>
  <c r="I20" i="8"/>
  <c r="J20" i="8"/>
  <c r="K20" i="8"/>
  <c r="B21" i="8"/>
  <c r="C21" i="8"/>
  <c r="D21" i="8"/>
  <c r="E21" i="8"/>
  <c r="F21" i="8"/>
  <c r="I21" i="8"/>
  <c r="J21" i="8"/>
  <c r="K21" i="8"/>
  <c r="B22" i="8"/>
  <c r="C22" i="8"/>
  <c r="D22" i="8"/>
  <c r="E22" i="8"/>
  <c r="F22" i="8"/>
  <c r="I22" i="8"/>
  <c r="J22" i="8"/>
  <c r="K22" i="8"/>
  <c r="B23" i="8"/>
  <c r="C23" i="8"/>
  <c r="D23" i="8"/>
  <c r="E23" i="8"/>
  <c r="F23" i="8"/>
  <c r="I23" i="8"/>
  <c r="J23" i="8"/>
  <c r="K23" i="8"/>
  <c r="B24" i="8"/>
  <c r="C24" i="8"/>
  <c r="D24" i="8"/>
  <c r="E24" i="8"/>
  <c r="F24" i="8"/>
  <c r="I24" i="8"/>
  <c r="J24" i="8"/>
  <c r="K24" i="8"/>
  <c r="B25" i="8"/>
  <c r="C25" i="8"/>
  <c r="D25" i="8"/>
  <c r="E25" i="8"/>
  <c r="F25" i="8"/>
  <c r="I25" i="8"/>
  <c r="J25" i="8"/>
  <c r="K25" i="8"/>
  <c r="B26" i="8"/>
  <c r="C26" i="8"/>
  <c r="D26" i="8"/>
  <c r="E26" i="8"/>
  <c r="F26" i="8"/>
  <c r="I26" i="8"/>
  <c r="J26" i="8"/>
  <c r="K26" i="8"/>
  <c r="B27" i="8"/>
  <c r="C27" i="8"/>
  <c r="D27" i="8"/>
  <c r="E27" i="8"/>
  <c r="F27" i="8"/>
  <c r="H27" i="8"/>
  <c r="I27" i="8"/>
  <c r="J27" i="8"/>
  <c r="K27" i="8"/>
  <c r="B28" i="8"/>
  <c r="C28" i="8"/>
  <c r="D28" i="8"/>
  <c r="E28" i="8"/>
  <c r="F28" i="8"/>
  <c r="H28" i="8"/>
  <c r="I28" i="8"/>
  <c r="J28" i="8"/>
  <c r="K28" i="8"/>
  <c r="A27" i="8"/>
  <c r="A28" i="8"/>
  <c r="A19" i="8"/>
  <c r="A20" i="8"/>
  <c r="A21" i="8"/>
  <c r="A22" i="8"/>
  <c r="A23" i="8"/>
  <c r="A24" i="8"/>
  <c r="A25" i="8"/>
  <c r="A26" i="8"/>
  <c r="A18" i="8"/>
  <c r="C14" i="7"/>
  <c r="C13" i="7"/>
  <c r="C12" i="7"/>
  <c r="C11" i="7"/>
  <c r="C10" i="7"/>
  <c r="C9" i="7"/>
  <c r="C8" i="7"/>
  <c r="C7" i="7"/>
  <c r="C6" i="7"/>
  <c r="C5" i="7"/>
  <c r="C4" i="7"/>
  <c r="N19" i="7"/>
  <c r="N20" i="7"/>
  <c r="N21" i="7"/>
  <c r="N22" i="7"/>
  <c r="N23" i="7"/>
  <c r="N24" i="7"/>
  <c r="N25" i="7"/>
  <c r="N26" i="7"/>
  <c r="N27" i="7"/>
  <c r="N28" i="7"/>
  <c r="N18" i="7"/>
  <c r="L19" i="7"/>
  <c r="L20" i="7"/>
  <c r="L21" i="7"/>
  <c r="L22" i="7"/>
  <c r="L23" i="7"/>
  <c r="L24" i="7"/>
  <c r="L25" i="7"/>
  <c r="L26" i="7"/>
  <c r="L27" i="7"/>
  <c r="L28" i="7"/>
  <c r="L18" i="7"/>
  <c r="B18" i="7"/>
  <c r="C18" i="7"/>
  <c r="D18" i="7"/>
  <c r="E18" i="7"/>
  <c r="F18" i="7"/>
  <c r="I18" i="7"/>
  <c r="J18" i="7"/>
  <c r="K18" i="7"/>
  <c r="B19" i="7"/>
  <c r="C19" i="7"/>
  <c r="D19" i="7"/>
  <c r="E19" i="7"/>
  <c r="F19" i="7"/>
  <c r="I19" i="7"/>
  <c r="J19" i="7"/>
  <c r="K19" i="7"/>
  <c r="B20" i="7"/>
  <c r="C20" i="7"/>
  <c r="D20" i="7"/>
  <c r="E20" i="7"/>
  <c r="F20" i="7"/>
  <c r="I20" i="7"/>
  <c r="J20" i="7"/>
  <c r="K20" i="7"/>
  <c r="B21" i="7"/>
  <c r="C21" i="7"/>
  <c r="D21" i="7"/>
  <c r="E21" i="7"/>
  <c r="F21" i="7"/>
  <c r="I21" i="7"/>
  <c r="J21" i="7"/>
  <c r="K21" i="7"/>
  <c r="B22" i="7"/>
  <c r="C22" i="7"/>
  <c r="D22" i="7"/>
  <c r="E22" i="7"/>
  <c r="F22" i="7"/>
  <c r="I22" i="7"/>
  <c r="J22" i="7"/>
  <c r="K22" i="7"/>
  <c r="B23" i="7"/>
  <c r="C23" i="7"/>
  <c r="D23" i="7"/>
  <c r="E23" i="7"/>
  <c r="F23" i="7"/>
  <c r="I23" i="7"/>
  <c r="J23" i="7"/>
  <c r="K23" i="7"/>
  <c r="B24" i="7"/>
  <c r="C24" i="7"/>
  <c r="D24" i="7"/>
  <c r="E24" i="7"/>
  <c r="F24" i="7"/>
  <c r="I24" i="7"/>
  <c r="J24" i="7"/>
  <c r="K24" i="7"/>
  <c r="B25" i="7"/>
  <c r="C25" i="7"/>
  <c r="D25" i="7"/>
  <c r="E25" i="7"/>
  <c r="F25" i="7"/>
  <c r="I25" i="7"/>
  <c r="J25" i="7"/>
  <c r="K25" i="7"/>
  <c r="B26" i="7"/>
  <c r="C26" i="7"/>
  <c r="D26" i="7"/>
  <c r="E26" i="7"/>
  <c r="F26" i="7"/>
  <c r="I26" i="7"/>
  <c r="J26" i="7"/>
  <c r="K26" i="7"/>
  <c r="B27" i="7"/>
  <c r="C27" i="7"/>
  <c r="D27" i="7"/>
  <c r="E27" i="7"/>
  <c r="F27" i="7"/>
  <c r="H27" i="7"/>
  <c r="I27" i="7"/>
  <c r="J27" i="7"/>
  <c r="K27" i="7"/>
  <c r="B28" i="7"/>
  <c r="C28" i="7"/>
  <c r="D28" i="7"/>
  <c r="E28" i="7"/>
  <c r="F28" i="7"/>
  <c r="H28" i="7"/>
  <c r="I28" i="7"/>
  <c r="J28" i="7"/>
  <c r="K28" i="7"/>
  <c r="A19" i="7"/>
  <c r="A20" i="7"/>
  <c r="A21" i="7"/>
  <c r="A22" i="7"/>
  <c r="A23" i="7"/>
  <c r="A24" i="7"/>
  <c r="A25" i="7"/>
  <c r="A26" i="7"/>
  <c r="A27" i="7"/>
  <c r="A28" i="7"/>
  <c r="A18" i="7"/>
  <c r="L20" i="6"/>
  <c r="N20" i="6"/>
  <c r="L21" i="6"/>
  <c r="N21" i="6"/>
  <c r="L22" i="6"/>
  <c r="N22" i="6"/>
  <c r="L23" i="6"/>
  <c r="N23" i="6"/>
  <c r="L24" i="6"/>
  <c r="N24" i="6"/>
  <c r="L25" i="6"/>
  <c r="N25" i="6"/>
  <c r="L26" i="6"/>
  <c r="N26" i="6"/>
  <c r="L27" i="6"/>
  <c r="N27" i="6"/>
  <c r="L28" i="6"/>
  <c r="N28" i="6"/>
  <c r="L29" i="6"/>
  <c r="N29" i="6"/>
  <c r="L30" i="6"/>
  <c r="N30" i="6"/>
  <c r="N19" i="6"/>
  <c r="L19" i="6"/>
  <c r="B19" i="6"/>
  <c r="C19" i="6"/>
  <c r="D19" i="6"/>
  <c r="E19" i="6"/>
  <c r="F19" i="6"/>
  <c r="I19" i="6"/>
  <c r="J19" i="6"/>
  <c r="K19" i="6"/>
  <c r="B20" i="6"/>
  <c r="C20" i="6"/>
  <c r="D20" i="6"/>
  <c r="E20" i="6"/>
  <c r="F20" i="6"/>
  <c r="I20" i="6"/>
  <c r="J20" i="6"/>
  <c r="K20" i="6"/>
  <c r="B21" i="6"/>
  <c r="C21" i="6"/>
  <c r="D21" i="6"/>
  <c r="E21" i="6"/>
  <c r="F21" i="6"/>
  <c r="I21" i="6"/>
  <c r="J21" i="6"/>
  <c r="K21" i="6"/>
  <c r="B22" i="6"/>
  <c r="D22" i="6"/>
  <c r="E22" i="6"/>
  <c r="F22" i="6"/>
  <c r="I22" i="6"/>
  <c r="J22" i="6"/>
  <c r="K22" i="6"/>
  <c r="B23" i="6"/>
  <c r="C23" i="6"/>
  <c r="D23" i="6"/>
  <c r="E23" i="6"/>
  <c r="F23" i="6"/>
  <c r="I23" i="6"/>
  <c r="J23" i="6"/>
  <c r="K23" i="6"/>
  <c r="B24" i="6"/>
  <c r="C24" i="6"/>
  <c r="D24" i="6"/>
  <c r="E24" i="6"/>
  <c r="F24" i="6"/>
  <c r="I24" i="6"/>
  <c r="J24" i="6"/>
  <c r="K24" i="6"/>
  <c r="B25" i="6"/>
  <c r="C25" i="6"/>
  <c r="D25" i="6"/>
  <c r="E25" i="6"/>
  <c r="F25" i="6"/>
  <c r="I25" i="6"/>
  <c r="J25" i="6"/>
  <c r="K25" i="6"/>
  <c r="B26" i="6"/>
  <c r="C26" i="6"/>
  <c r="D26" i="6"/>
  <c r="E26" i="6"/>
  <c r="F26" i="6"/>
  <c r="I26" i="6"/>
  <c r="J26" i="6"/>
  <c r="K26" i="6"/>
  <c r="B27" i="6"/>
  <c r="C27" i="6"/>
  <c r="D27" i="6"/>
  <c r="E27" i="6"/>
  <c r="F27" i="6"/>
  <c r="I27" i="6"/>
  <c r="J27" i="6"/>
  <c r="K27" i="6"/>
  <c r="B28" i="6"/>
  <c r="C28" i="6"/>
  <c r="D28" i="6"/>
  <c r="E28" i="6"/>
  <c r="F28" i="6"/>
  <c r="H28" i="6"/>
  <c r="I28" i="6"/>
  <c r="J28" i="6"/>
  <c r="K28" i="6"/>
  <c r="B29" i="6"/>
  <c r="C29" i="6"/>
  <c r="D29" i="6"/>
  <c r="E29" i="6"/>
  <c r="F29" i="6"/>
  <c r="H29" i="6"/>
  <c r="I29" i="6"/>
  <c r="J29" i="6"/>
  <c r="K29" i="6"/>
  <c r="B30" i="6"/>
  <c r="C30" i="6"/>
  <c r="D30" i="6"/>
  <c r="E30" i="6"/>
  <c r="F30" i="6"/>
  <c r="H30" i="6"/>
  <c r="I30" i="6"/>
  <c r="J30" i="6"/>
  <c r="K30" i="6"/>
  <c r="A30" i="6"/>
  <c r="A20" i="6"/>
  <c r="A21" i="6"/>
  <c r="A22" i="6"/>
  <c r="A23" i="6"/>
  <c r="A24" i="6"/>
  <c r="A25" i="6"/>
  <c r="A26" i="6"/>
  <c r="A27" i="6"/>
  <c r="A28" i="6"/>
  <c r="A29" i="6"/>
  <c r="A19" i="6"/>
  <c r="L19" i="5"/>
  <c r="N19" i="5"/>
  <c r="L20" i="5"/>
  <c r="N20" i="5"/>
  <c r="L21" i="5"/>
  <c r="N21" i="5"/>
  <c r="L22" i="5"/>
  <c r="N22" i="5"/>
  <c r="L23" i="5"/>
  <c r="N23" i="5"/>
  <c r="L24" i="5"/>
  <c r="N24" i="5"/>
  <c r="L25" i="5"/>
  <c r="N25" i="5"/>
  <c r="L26" i="5"/>
  <c r="N26" i="5"/>
  <c r="L27" i="5"/>
  <c r="N27" i="5"/>
  <c r="L28" i="5"/>
  <c r="N28" i="5"/>
  <c r="N18" i="5"/>
  <c r="L18" i="5"/>
  <c r="B18" i="5"/>
  <c r="C18" i="5"/>
  <c r="D18" i="5"/>
  <c r="E18" i="5"/>
  <c r="F18" i="5"/>
  <c r="I18" i="5"/>
  <c r="J18" i="5"/>
  <c r="K18" i="5"/>
  <c r="B19" i="5"/>
  <c r="C19" i="5"/>
  <c r="D19" i="5"/>
  <c r="E19" i="5"/>
  <c r="F19" i="5"/>
  <c r="I19" i="5"/>
  <c r="J19" i="5"/>
  <c r="K19" i="5"/>
  <c r="B20" i="5"/>
  <c r="C20" i="5"/>
  <c r="D20" i="5"/>
  <c r="E20" i="5"/>
  <c r="F20" i="5"/>
  <c r="I20" i="5"/>
  <c r="J20" i="5"/>
  <c r="K20" i="5"/>
  <c r="B21" i="5"/>
  <c r="C21" i="5"/>
  <c r="D21" i="5"/>
  <c r="E21" i="5"/>
  <c r="F21" i="5"/>
  <c r="I21" i="5"/>
  <c r="J21" i="5"/>
  <c r="K21" i="5"/>
  <c r="B22" i="5"/>
  <c r="C22" i="5"/>
  <c r="D22" i="5"/>
  <c r="E22" i="5"/>
  <c r="F22" i="5"/>
  <c r="I22" i="5"/>
  <c r="J22" i="5"/>
  <c r="K22" i="5"/>
  <c r="B23" i="5"/>
  <c r="C23" i="5"/>
  <c r="D23" i="5"/>
  <c r="E23" i="5"/>
  <c r="F23" i="5"/>
  <c r="I23" i="5"/>
  <c r="J23" i="5"/>
  <c r="K23" i="5"/>
  <c r="B24" i="5"/>
  <c r="C24" i="5"/>
  <c r="D24" i="5"/>
  <c r="E24" i="5"/>
  <c r="F24" i="5"/>
  <c r="I24" i="5"/>
  <c r="J24" i="5"/>
  <c r="K24" i="5"/>
  <c r="B25" i="5"/>
  <c r="C25" i="5"/>
  <c r="D25" i="5"/>
  <c r="E25" i="5"/>
  <c r="F25" i="5"/>
  <c r="I25" i="5"/>
  <c r="J25" i="5"/>
  <c r="K25" i="5"/>
  <c r="B26" i="5"/>
  <c r="C26" i="5"/>
  <c r="D26" i="5"/>
  <c r="E26" i="5"/>
  <c r="F26" i="5"/>
  <c r="I26" i="5"/>
  <c r="J26" i="5"/>
  <c r="K26" i="5"/>
  <c r="B27" i="5"/>
  <c r="C27" i="5"/>
  <c r="D27" i="5"/>
  <c r="E27" i="5"/>
  <c r="F27" i="5"/>
  <c r="H27" i="5"/>
  <c r="J27" i="5"/>
  <c r="K27" i="5"/>
  <c r="B28" i="5"/>
  <c r="C28" i="5"/>
  <c r="D28" i="5"/>
  <c r="E28" i="5"/>
  <c r="F28" i="5"/>
  <c r="H28" i="5"/>
  <c r="I28" i="5"/>
  <c r="J28" i="5"/>
  <c r="A19" i="5"/>
  <c r="A20" i="5"/>
  <c r="A21" i="5"/>
  <c r="A22" i="5"/>
  <c r="A23" i="5"/>
  <c r="A24" i="5"/>
  <c r="A25" i="5"/>
  <c r="A26" i="5"/>
  <c r="A27" i="5"/>
  <c r="A28" i="5"/>
  <c r="A18" i="5"/>
  <c r="L18" i="4"/>
  <c r="N18" i="4"/>
  <c r="L19" i="4"/>
  <c r="N19" i="4"/>
  <c r="L20" i="4"/>
  <c r="N20" i="4"/>
  <c r="L21" i="4"/>
  <c r="N21" i="4"/>
  <c r="L22" i="4"/>
  <c r="N22" i="4"/>
  <c r="L23" i="4"/>
  <c r="N23" i="4"/>
  <c r="L24" i="4"/>
  <c r="N24" i="4"/>
  <c r="L25" i="4"/>
  <c r="N25" i="4"/>
  <c r="L26" i="4"/>
  <c r="N26" i="4"/>
  <c r="N17" i="4"/>
  <c r="L17" i="4"/>
  <c r="B17" i="4"/>
  <c r="C17" i="4"/>
  <c r="D17" i="4"/>
  <c r="E17" i="4"/>
  <c r="F17" i="4"/>
  <c r="I17" i="4"/>
  <c r="J17" i="4"/>
  <c r="K17" i="4"/>
  <c r="B18" i="4"/>
  <c r="C18" i="4"/>
  <c r="D18" i="4"/>
  <c r="E18" i="4"/>
  <c r="F18" i="4"/>
  <c r="I18" i="4"/>
  <c r="J18" i="4"/>
  <c r="K18" i="4"/>
  <c r="B19" i="4"/>
  <c r="C19" i="4"/>
  <c r="D19" i="4"/>
  <c r="E19" i="4"/>
  <c r="F19" i="4"/>
  <c r="I19" i="4"/>
  <c r="J19" i="4"/>
  <c r="K19" i="4"/>
  <c r="B20" i="4"/>
  <c r="C20" i="4"/>
  <c r="D20" i="4"/>
  <c r="E20" i="4"/>
  <c r="F20" i="4"/>
  <c r="I20" i="4"/>
  <c r="J20" i="4"/>
  <c r="K20" i="4"/>
  <c r="B21" i="4"/>
  <c r="C21" i="4"/>
  <c r="D21" i="4"/>
  <c r="E21" i="4"/>
  <c r="F21" i="4"/>
  <c r="I21" i="4"/>
  <c r="J21" i="4"/>
  <c r="K21" i="4"/>
  <c r="B22" i="4"/>
  <c r="C22" i="4"/>
  <c r="D22" i="4"/>
  <c r="E22" i="4"/>
  <c r="F22" i="4"/>
  <c r="I22" i="4"/>
  <c r="J22" i="4"/>
  <c r="K22" i="4"/>
  <c r="B23" i="4"/>
  <c r="C23" i="4"/>
  <c r="D23" i="4"/>
  <c r="E23" i="4"/>
  <c r="F23" i="4"/>
  <c r="I23" i="4"/>
  <c r="J23" i="4"/>
  <c r="K23" i="4"/>
  <c r="B24" i="4"/>
  <c r="C24" i="4"/>
  <c r="D24" i="4"/>
  <c r="E24" i="4"/>
  <c r="F24" i="4"/>
  <c r="I24" i="4"/>
  <c r="J24" i="4"/>
  <c r="K24" i="4"/>
  <c r="B25" i="4"/>
  <c r="C25" i="4"/>
  <c r="D25" i="4"/>
  <c r="E25" i="4"/>
  <c r="F25" i="4"/>
  <c r="I25" i="4"/>
  <c r="J25" i="4"/>
  <c r="K25" i="4"/>
  <c r="B26" i="4"/>
  <c r="C26" i="4"/>
  <c r="D26" i="4"/>
  <c r="E26" i="4"/>
  <c r="F26" i="4"/>
  <c r="H26" i="4"/>
  <c r="I26" i="4"/>
  <c r="J26" i="4"/>
  <c r="K26" i="4"/>
  <c r="A26" i="4"/>
  <c r="A18" i="4"/>
  <c r="A19" i="4"/>
  <c r="A20" i="4"/>
  <c r="A21" i="4"/>
  <c r="A22" i="4"/>
  <c r="A23" i="4"/>
  <c r="A24" i="4"/>
  <c r="A25" i="4"/>
  <c r="A17" i="4"/>
  <c r="N18" i="3"/>
  <c r="N19" i="3"/>
  <c r="N20" i="3"/>
  <c r="N21" i="3"/>
  <c r="N22" i="3"/>
  <c r="N23" i="3"/>
  <c r="N24" i="3"/>
  <c r="N25" i="3"/>
  <c r="N26" i="3"/>
  <c r="N17" i="3"/>
  <c r="L18" i="3"/>
  <c r="L19" i="3"/>
  <c r="L20" i="3"/>
  <c r="L21" i="3"/>
  <c r="L22" i="3"/>
  <c r="L23" i="3"/>
  <c r="L24" i="3"/>
  <c r="L25" i="3"/>
  <c r="L26" i="3"/>
  <c r="L17" i="3"/>
  <c r="B17" i="3"/>
  <c r="C17" i="3"/>
  <c r="D17" i="3"/>
  <c r="E17" i="3"/>
  <c r="F17" i="3"/>
  <c r="I17" i="3"/>
  <c r="J17" i="3"/>
  <c r="K17" i="3"/>
  <c r="B18" i="3"/>
  <c r="C18" i="3"/>
  <c r="D18" i="3"/>
  <c r="E18" i="3"/>
  <c r="F18" i="3"/>
  <c r="I18" i="3"/>
  <c r="J18" i="3"/>
  <c r="K18" i="3"/>
  <c r="B19" i="3"/>
  <c r="C19" i="3"/>
  <c r="D19" i="3"/>
  <c r="E19" i="3"/>
  <c r="F19" i="3"/>
  <c r="I19" i="3"/>
  <c r="J19" i="3"/>
  <c r="K19" i="3"/>
  <c r="B20" i="3"/>
  <c r="C20" i="3"/>
  <c r="D20" i="3"/>
  <c r="E20" i="3"/>
  <c r="F20" i="3"/>
  <c r="I20" i="3"/>
  <c r="J20" i="3"/>
  <c r="K20" i="3"/>
  <c r="B21" i="3"/>
  <c r="C21" i="3"/>
  <c r="D21" i="3"/>
  <c r="E21" i="3"/>
  <c r="F21" i="3"/>
  <c r="I21" i="3"/>
  <c r="J21" i="3"/>
  <c r="K21" i="3"/>
  <c r="B22" i="3"/>
  <c r="C22" i="3"/>
  <c r="D22" i="3"/>
  <c r="E22" i="3"/>
  <c r="F22" i="3"/>
  <c r="I22" i="3"/>
  <c r="J22" i="3"/>
  <c r="K22" i="3"/>
  <c r="B23" i="3"/>
  <c r="C23" i="3"/>
  <c r="D23" i="3"/>
  <c r="E23" i="3"/>
  <c r="F23" i="3"/>
  <c r="I23" i="3"/>
  <c r="J23" i="3"/>
  <c r="K23" i="3"/>
  <c r="B24" i="3"/>
  <c r="C24" i="3"/>
  <c r="D24" i="3"/>
  <c r="E24" i="3"/>
  <c r="F24" i="3"/>
  <c r="I24" i="3"/>
  <c r="J24" i="3"/>
  <c r="K24" i="3"/>
  <c r="B25" i="3"/>
  <c r="C25" i="3"/>
  <c r="D25" i="3"/>
  <c r="E25" i="3"/>
  <c r="F25" i="3"/>
  <c r="I25" i="3"/>
  <c r="J25" i="3"/>
  <c r="K25" i="3"/>
  <c r="B26" i="3"/>
  <c r="C26" i="3"/>
  <c r="D26" i="3"/>
  <c r="E26" i="3"/>
  <c r="F26" i="3"/>
  <c r="I26" i="3"/>
  <c r="J26" i="3"/>
  <c r="K26" i="3"/>
  <c r="A26" i="3"/>
  <c r="A18" i="3"/>
  <c r="A19" i="3"/>
  <c r="A20" i="3"/>
  <c r="A21" i="3"/>
  <c r="A22" i="3"/>
  <c r="A23" i="3"/>
  <c r="A24" i="3"/>
  <c r="A25" i="3"/>
  <c r="A17" i="3"/>
  <c r="N15" i="2"/>
  <c r="N16" i="2"/>
  <c r="N17" i="2"/>
  <c r="N18" i="2"/>
  <c r="N19" i="2"/>
  <c r="N20" i="2"/>
  <c r="L15" i="2"/>
  <c r="L16" i="2"/>
  <c r="L17" i="2"/>
  <c r="L18" i="2"/>
  <c r="L19" i="2"/>
  <c r="L20" i="2"/>
  <c r="N14" i="2"/>
  <c r="L14" i="2"/>
  <c r="C10" i="2"/>
  <c r="C9" i="2"/>
  <c r="C8" i="2"/>
  <c r="C7" i="2"/>
  <c r="C6" i="2"/>
  <c r="C5" i="2"/>
  <c r="C4" i="2"/>
  <c r="B14" i="2"/>
  <c r="C14" i="2"/>
  <c r="D14" i="2"/>
  <c r="E14" i="2"/>
  <c r="F14" i="2"/>
  <c r="I14" i="2"/>
  <c r="J14" i="2"/>
  <c r="K14" i="2"/>
  <c r="B15" i="2"/>
  <c r="C15" i="2"/>
  <c r="D15" i="2"/>
  <c r="E15" i="2"/>
  <c r="F15" i="2"/>
  <c r="I15" i="2"/>
  <c r="J15" i="2"/>
  <c r="K15" i="2"/>
  <c r="B16" i="2"/>
  <c r="C16" i="2"/>
  <c r="D16" i="2"/>
  <c r="E16" i="2"/>
  <c r="F16" i="2"/>
  <c r="I16" i="2"/>
  <c r="J16" i="2"/>
  <c r="K16" i="2"/>
  <c r="B17" i="2"/>
  <c r="C17" i="2"/>
  <c r="D17" i="2"/>
  <c r="E17" i="2"/>
  <c r="F17" i="2"/>
  <c r="I17" i="2"/>
  <c r="J17" i="2"/>
  <c r="K17" i="2"/>
  <c r="B18" i="2"/>
  <c r="C18" i="2"/>
  <c r="D18" i="2"/>
  <c r="E18" i="2"/>
  <c r="F18" i="2"/>
  <c r="I18" i="2"/>
  <c r="J18" i="2"/>
  <c r="K18" i="2"/>
  <c r="B19" i="2"/>
  <c r="C19" i="2"/>
  <c r="D19" i="2"/>
  <c r="E19" i="2"/>
  <c r="F19" i="2"/>
  <c r="I19" i="2"/>
  <c r="J19" i="2"/>
  <c r="K19" i="2"/>
  <c r="B20" i="2"/>
  <c r="C20" i="2"/>
  <c r="D20" i="2"/>
  <c r="E20" i="2"/>
  <c r="F20" i="2"/>
  <c r="I20" i="2"/>
  <c r="J20" i="2"/>
  <c r="K20" i="2"/>
  <c r="A15" i="2"/>
  <c r="A16" i="2"/>
  <c r="A17" i="2"/>
  <c r="A18" i="2"/>
  <c r="A19" i="2"/>
  <c r="A20" i="2"/>
  <c r="A14" i="2"/>
  <c r="M148" i="1"/>
  <c r="M149" i="1"/>
  <c r="M150" i="1"/>
  <c r="M151" i="1"/>
  <c r="M152" i="1"/>
  <c r="M153" i="1"/>
  <c r="M154" i="1"/>
  <c r="M155" i="1"/>
  <c r="M156" i="1"/>
  <c r="Q148" i="1"/>
  <c r="Q149" i="1"/>
  <c r="Q150" i="1"/>
  <c r="Q151" i="1"/>
  <c r="Q152" i="1"/>
  <c r="Q153" i="1"/>
  <c r="Q154" i="1"/>
  <c r="Q155" i="1"/>
  <c r="Q156" i="1"/>
  <c r="G156" i="1"/>
  <c r="H12" i="14" s="1"/>
  <c r="G155" i="1"/>
  <c r="H11" i="14" s="1"/>
  <c r="G154" i="1"/>
  <c r="H10" i="14" s="1"/>
  <c r="G153" i="1"/>
  <c r="H9" i="14" s="1"/>
  <c r="G152" i="1"/>
  <c r="H8" i="14" s="1"/>
  <c r="G151" i="1"/>
  <c r="H7" i="14" s="1"/>
  <c r="G150" i="1"/>
  <c r="H6" i="14" s="1"/>
  <c r="G149" i="1"/>
  <c r="H5" i="14" s="1"/>
  <c r="G148" i="1"/>
  <c r="H4" i="14" s="1"/>
  <c r="M30" i="1"/>
  <c r="M18" i="5" s="1"/>
  <c r="Q31" i="1"/>
  <c r="M31" i="1"/>
  <c r="M136" i="1"/>
  <c r="M137" i="1"/>
  <c r="M138" i="1"/>
  <c r="M139" i="1"/>
  <c r="M140" i="1"/>
  <c r="M141" i="1"/>
  <c r="M142" i="1"/>
  <c r="M143" i="1"/>
  <c r="M2" i="1"/>
  <c r="M17" i="3" s="1"/>
  <c r="M3" i="1"/>
  <c r="M4" i="1"/>
  <c r="M5" i="1"/>
  <c r="M6" i="1"/>
  <c r="M7" i="1"/>
  <c r="M8" i="1"/>
  <c r="M9" i="1"/>
  <c r="M10" i="1"/>
  <c r="M11" i="1"/>
  <c r="M16" i="1"/>
  <c r="M17" i="1"/>
  <c r="M18" i="1"/>
  <c r="M19" i="1"/>
  <c r="M20" i="1"/>
  <c r="M21" i="1"/>
  <c r="M22" i="1"/>
  <c r="M23" i="1"/>
  <c r="M24" i="1"/>
  <c r="M25" i="1"/>
  <c r="M32" i="1"/>
  <c r="M33" i="1"/>
  <c r="M34" i="1"/>
  <c r="M35" i="1"/>
  <c r="M36" i="1"/>
  <c r="M37" i="1"/>
  <c r="M38" i="1"/>
  <c r="M39" i="1"/>
  <c r="M40" i="1"/>
  <c r="M43" i="1"/>
  <c r="M44" i="1"/>
  <c r="M45" i="1"/>
  <c r="M46" i="1"/>
  <c r="M47" i="1"/>
  <c r="M48" i="1"/>
  <c r="M49" i="1"/>
  <c r="M50" i="1"/>
  <c r="M51" i="1"/>
  <c r="M52" i="1"/>
  <c r="M53" i="1"/>
  <c r="M54" i="1"/>
  <c r="M56" i="1"/>
  <c r="M57" i="1"/>
  <c r="M58" i="1"/>
  <c r="M59" i="1"/>
  <c r="M60" i="1"/>
  <c r="M61" i="1"/>
  <c r="M62" i="1"/>
  <c r="M63" i="1"/>
  <c r="M64" i="1"/>
  <c r="M65" i="1"/>
  <c r="M66" i="1"/>
  <c r="M71" i="1"/>
  <c r="M72" i="1"/>
  <c r="M73" i="1"/>
  <c r="M74" i="1"/>
  <c r="M75" i="1"/>
  <c r="M76" i="1"/>
  <c r="M77" i="1"/>
  <c r="M78" i="1"/>
  <c r="M79" i="1"/>
  <c r="M80" i="1"/>
  <c r="M81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3" i="1"/>
  <c r="M104" i="1"/>
  <c r="M105" i="1"/>
  <c r="M109" i="1"/>
  <c r="M110" i="1"/>
  <c r="M111" i="1"/>
  <c r="M112" i="1"/>
  <c r="M113" i="1"/>
  <c r="M114" i="1"/>
  <c r="M115" i="1"/>
  <c r="Q136" i="1"/>
  <c r="Q137" i="1"/>
  <c r="Q138" i="1"/>
  <c r="Q139" i="1"/>
  <c r="Q140" i="1"/>
  <c r="Q141" i="1"/>
  <c r="Q142" i="1"/>
  <c r="Q143" i="1"/>
  <c r="Q135" i="1"/>
  <c r="Q123" i="1"/>
  <c r="Q124" i="1"/>
  <c r="Q125" i="1"/>
  <c r="Q126" i="1"/>
  <c r="Q127" i="1"/>
  <c r="Q128" i="1"/>
  <c r="Q129" i="1"/>
  <c r="Q17" i="1"/>
  <c r="Q18" i="1"/>
  <c r="Q19" i="1"/>
  <c r="Q20" i="1"/>
  <c r="Q21" i="1"/>
  <c r="Q22" i="1"/>
  <c r="Q23" i="1"/>
  <c r="Q24" i="1"/>
  <c r="Q25" i="1"/>
  <c r="Q32" i="1"/>
  <c r="Q33" i="1"/>
  <c r="Q34" i="1"/>
  <c r="Q35" i="1"/>
  <c r="Q36" i="1"/>
  <c r="Q37" i="1"/>
  <c r="Q38" i="1"/>
  <c r="Q39" i="1"/>
  <c r="Q40" i="1"/>
  <c r="Q43" i="1"/>
  <c r="Q44" i="1"/>
  <c r="Q45" i="1"/>
  <c r="Q46" i="1"/>
  <c r="Q47" i="1"/>
  <c r="Q48" i="1"/>
  <c r="Q49" i="1"/>
  <c r="Q50" i="1"/>
  <c r="Q51" i="1"/>
  <c r="Q52" i="1"/>
  <c r="Q53" i="1"/>
  <c r="Q54" i="1"/>
  <c r="Q56" i="1"/>
  <c r="Q57" i="1"/>
  <c r="Q58" i="1"/>
  <c r="Q59" i="1"/>
  <c r="Q60" i="1"/>
  <c r="Q61" i="1"/>
  <c r="Q62" i="1"/>
  <c r="Q63" i="1"/>
  <c r="Q64" i="1"/>
  <c r="Q65" i="1"/>
  <c r="Q66" i="1"/>
  <c r="Q71" i="1"/>
  <c r="Q72" i="1"/>
  <c r="Q73" i="1"/>
  <c r="Q74" i="1"/>
  <c r="Q75" i="1"/>
  <c r="Q76" i="1"/>
  <c r="Q77" i="1"/>
  <c r="Q78" i="1"/>
  <c r="Q79" i="1"/>
  <c r="Q80" i="1"/>
  <c r="Q81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9" i="1"/>
  <c r="Q110" i="1"/>
  <c r="Q111" i="1"/>
  <c r="Q112" i="1"/>
  <c r="Q113" i="1"/>
  <c r="Q114" i="1"/>
  <c r="Q115" i="1"/>
  <c r="Q3" i="1"/>
  <c r="Q4" i="1"/>
  <c r="Q5" i="1"/>
  <c r="Q6" i="1"/>
  <c r="Q7" i="1"/>
  <c r="Q8" i="1"/>
  <c r="Q9" i="1"/>
  <c r="Q10" i="1"/>
  <c r="Q11" i="1"/>
  <c r="M123" i="1"/>
  <c r="M124" i="1"/>
  <c r="M125" i="1"/>
  <c r="M126" i="1"/>
  <c r="M127" i="1"/>
  <c r="M128" i="1"/>
  <c r="M129" i="1"/>
  <c r="M134" i="1"/>
  <c r="M135" i="1"/>
  <c r="M122" i="1"/>
  <c r="M121" i="1"/>
  <c r="N2" i="1"/>
  <c r="Q134" i="1"/>
  <c r="Q16" i="1"/>
  <c r="Q2" i="1"/>
  <c r="Q122" i="1"/>
  <c r="Q121" i="1"/>
  <c r="G142" i="1"/>
  <c r="H25" i="12" s="1"/>
  <c r="G141" i="1"/>
  <c r="H24" i="12" s="1"/>
  <c r="G140" i="1"/>
  <c r="H23" i="12" s="1"/>
  <c r="G139" i="1"/>
  <c r="H22" i="12" s="1"/>
  <c r="G138" i="1"/>
  <c r="H21" i="12" s="1"/>
  <c r="G137" i="1"/>
  <c r="H20" i="12" s="1"/>
  <c r="G136" i="1"/>
  <c r="H19" i="12" s="1"/>
  <c r="G135" i="1"/>
  <c r="H18" i="12" s="1"/>
  <c r="G134" i="1"/>
  <c r="H17" i="12" s="1"/>
  <c r="G129" i="1"/>
  <c r="H24" i="11" s="1"/>
  <c r="G128" i="1"/>
  <c r="H23" i="11" s="1"/>
  <c r="G127" i="1"/>
  <c r="H22" i="11" s="1"/>
  <c r="G126" i="1"/>
  <c r="H21" i="11" s="1"/>
  <c r="G125" i="1"/>
  <c r="H20" i="11" s="1"/>
  <c r="G124" i="1"/>
  <c r="H19" i="11" s="1"/>
  <c r="G123" i="1"/>
  <c r="H18" i="11" s="1"/>
  <c r="G122" i="1"/>
  <c r="H17" i="11" s="1"/>
  <c r="G121" i="1"/>
  <c r="H16" i="11" s="1"/>
  <c r="H20" i="2"/>
  <c r="H19" i="2"/>
  <c r="G113" i="1"/>
  <c r="H18" i="2" s="1"/>
  <c r="G112" i="1"/>
  <c r="H17" i="2" s="1"/>
  <c r="G111" i="1"/>
  <c r="H16" i="2" s="1"/>
  <c r="G110" i="1"/>
  <c r="H15" i="2" s="1"/>
  <c r="G109" i="1"/>
  <c r="H14" i="2" s="1"/>
  <c r="G104" i="1"/>
  <c r="H25" i="10" s="1"/>
  <c r="G103" i="1"/>
  <c r="H24" i="10" s="1"/>
  <c r="G102" i="1"/>
  <c r="H23" i="10" s="1"/>
  <c r="G101" i="1"/>
  <c r="H22" i="10" s="1"/>
  <c r="G100" i="1"/>
  <c r="H21" i="10" s="1"/>
  <c r="G99" i="1"/>
  <c r="H20" i="10" s="1"/>
  <c r="G98" i="1"/>
  <c r="H19" i="10" s="1"/>
  <c r="G97" i="1"/>
  <c r="H18" i="10" s="1"/>
  <c r="G96" i="1"/>
  <c r="H17" i="10" s="1"/>
  <c r="G94" i="1"/>
  <c r="H25" i="9" s="1"/>
  <c r="G93" i="1"/>
  <c r="H24" i="9" s="1"/>
  <c r="G92" i="1"/>
  <c r="H23" i="9" s="1"/>
  <c r="G91" i="1"/>
  <c r="H22" i="9" s="1"/>
  <c r="G90" i="1"/>
  <c r="H21" i="9" s="1"/>
  <c r="G89" i="1"/>
  <c r="H20" i="9" s="1"/>
  <c r="G88" i="1"/>
  <c r="H19" i="9" s="1"/>
  <c r="G87" i="1"/>
  <c r="H18" i="9" s="1"/>
  <c r="G86" i="1"/>
  <c r="H17" i="9" s="1"/>
  <c r="G79" i="1"/>
  <c r="H26" i="8" s="1"/>
  <c r="G78" i="1"/>
  <c r="H25" i="8" s="1"/>
  <c r="G77" i="1"/>
  <c r="H24" i="8" s="1"/>
  <c r="G76" i="1"/>
  <c r="H23" i="8" s="1"/>
  <c r="G75" i="1"/>
  <c r="H22" i="8" s="1"/>
  <c r="G74" i="1"/>
  <c r="H21" i="8" s="1"/>
  <c r="G73" i="1"/>
  <c r="H20" i="8" s="1"/>
  <c r="G72" i="1"/>
  <c r="H19" i="8" s="1"/>
  <c r="G71" i="1"/>
  <c r="H18" i="8" s="1"/>
  <c r="G64" i="1"/>
  <c r="H26" i="7" s="1"/>
  <c r="G63" i="1"/>
  <c r="H25" i="7" s="1"/>
  <c r="G62" i="1"/>
  <c r="H24" i="7" s="1"/>
  <c r="G61" i="1"/>
  <c r="H23" i="7" s="1"/>
  <c r="G60" i="1"/>
  <c r="H22" i="7" s="1"/>
  <c r="G59" i="1"/>
  <c r="H21" i="7" s="1"/>
  <c r="G58" i="1"/>
  <c r="H20" i="7" s="1"/>
  <c r="G57" i="1"/>
  <c r="H19" i="7" s="1"/>
  <c r="G56" i="1"/>
  <c r="H18" i="7" s="1"/>
  <c r="G51" i="1"/>
  <c r="H27" i="6" s="1"/>
  <c r="G50" i="1"/>
  <c r="H26" i="6" s="1"/>
  <c r="G49" i="1"/>
  <c r="H25" i="6" s="1"/>
  <c r="G48" i="1"/>
  <c r="H24" i="6" s="1"/>
  <c r="G47" i="1"/>
  <c r="H23" i="6" s="1"/>
  <c r="G46" i="1"/>
  <c r="H22" i="6" s="1"/>
  <c r="G45" i="1"/>
  <c r="H21" i="6" s="1"/>
  <c r="G44" i="1"/>
  <c r="H20" i="6" s="1"/>
  <c r="G43" i="1"/>
  <c r="H19" i="6" s="1"/>
  <c r="G38" i="1"/>
  <c r="H26" i="5" s="1"/>
  <c r="G37" i="1"/>
  <c r="H25" i="5" s="1"/>
  <c r="G36" i="1"/>
  <c r="H24" i="5" s="1"/>
  <c r="G35" i="1"/>
  <c r="H23" i="5" s="1"/>
  <c r="G34" i="1"/>
  <c r="H22" i="5" s="1"/>
  <c r="G33" i="1"/>
  <c r="H21" i="5" s="1"/>
  <c r="G32" i="1"/>
  <c r="H20" i="5" s="1"/>
  <c r="G31" i="1"/>
  <c r="H19" i="5" s="1"/>
  <c r="G30" i="1"/>
  <c r="H18" i="5" s="1"/>
  <c r="G24" i="1"/>
  <c r="H25" i="4" s="1"/>
  <c r="G23" i="1"/>
  <c r="H24" i="4" s="1"/>
  <c r="G22" i="1"/>
  <c r="H23" i="4" s="1"/>
  <c r="G21" i="1"/>
  <c r="H22" i="4" s="1"/>
  <c r="G20" i="1"/>
  <c r="H21" i="4" s="1"/>
  <c r="G19" i="1"/>
  <c r="H20" i="4" s="1"/>
  <c r="G18" i="1"/>
  <c r="H19" i="4" s="1"/>
  <c r="G17" i="1"/>
  <c r="H18" i="4" s="1"/>
  <c r="G16" i="1"/>
  <c r="H17" i="4" s="1"/>
  <c r="G11" i="1"/>
  <c r="H26" i="3" s="1"/>
  <c r="G10" i="1"/>
  <c r="H25" i="3" s="1"/>
  <c r="G9" i="1"/>
  <c r="H24" i="3" s="1"/>
  <c r="G8" i="1"/>
  <c r="H23" i="3" s="1"/>
  <c r="G7" i="1"/>
  <c r="H22" i="3" s="1"/>
  <c r="G6" i="1"/>
  <c r="H21" i="3" s="1"/>
  <c r="G5" i="1"/>
  <c r="H20" i="3" s="1"/>
  <c r="G4" i="1"/>
  <c r="H19" i="3" s="1"/>
  <c r="G3" i="1"/>
  <c r="H18" i="3" s="1"/>
  <c r="G2" i="1"/>
  <c r="H17" i="3" s="1"/>
  <c r="N106" i="1" l="1"/>
  <c r="N119" i="1"/>
  <c r="N69" i="1"/>
  <c r="N30" i="1"/>
  <c r="N132" i="1"/>
  <c r="N120" i="1"/>
  <c r="N55" i="1"/>
  <c r="N145" i="1"/>
  <c r="N41" i="1"/>
  <c r="N144" i="1"/>
  <c r="N108" i="1"/>
  <c r="N42" i="1"/>
  <c r="N82" i="1"/>
  <c r="N146" i="1"/>
  <c r="N13" i="1"/>
  <c r="N14" i="1"/>
  <c r="N83" i="1"/>
  <c r="N26" i="1"/>
  <c r="N130" i="1"/>
  <c r="N28" i="1"/>
  <c r="N147" i="1"/>
  <c r="N160" i="1"/>
  <c r="N12" i="1"/>
  <c r="N67" i="1"/>
  <c r="N159" i="1"/>
  <c r="N116" i="1"/>
  <c r="N131" i="1"/>
  <c r="N27" i="1"/>
  <c r="N70" i="1"/>
  <c r="M32" i="7"/>
  <c r="N156" i="1"/>
  <c r="M12" i="14"/>
  <c r="N155" i="1"/>
  <c r="M11" i="14"/>
  <c r="N154" i="1"/>
  <c r="M10" i="14"/>
  <c r="N153" i="1"/>
  <c r="M9" i="14"/>
  <c r="N152" i="1"/>
  <c r="M8" i="14"/>
  <c r="N151" i="1"/>
  <c r="M7" i="14"/>
  <c r="N150" i="1"/>
  <c r="M6" i="14"/>
  <c r="N149" i="1"/>
  <c r="M5" i="14"/>
  <c r="N148" i="1"/>
  <c r="M4" i="14"/>
  <c r="N157" i="1"/>
  <c r="M13" i="14"/>
  <c r="N158" i="1"/>
  <c r="M14" i="14"/>
  <c r="M22" i="4"/>
  <c r="N21" i="1"/>
  <c r="N121" i="1"/>
  <c r="M16" i="11"/>
  <c r="N122" i="1"/>
  <c r="M17" i="11"/>
  <c r="N135" i="1"/>
  <c r="M18" i="12"/>
  <c r="N134" i="1"/>
  <c r="M17" i="12"/>
  <c r="N126" i="1"/>
  <c r="M21" i="11"/>
  <c r="N125" i="1"/>
  <c r="M20" i="11"/>
  <c r="N124" i="1"/>
  <c r="M19" i="11"/>
  <c r="N123" i="1"/>
  <c r="M18" i="11"/>
  <c r="N105" i="1"/>
  <c r="M26" i="10"/>
  <c r="N104" i="1"/>
  <c r="M25" i="10"/>
  <c r="N103" i="1"/>
  <c r="M24" i="10"/>
  <c r="N99" i="1"/>
  <c r="M20" i="10"/>
  <c r="N98" i="1"/>
  <c r="M19" i="10"/>
  <c r="N97" i="1"/>
  <c r="M18" i="10"/>
  <c r="N96" i="1"/>
  <c r="M17" i="10"/>
  <c r="N95" i="1"/>
  <c r="M26" i="9"/>
  <c r="N94" i="1"/>
  <c r="M25" i="9"/>
  <c r="N93" i="1"/>
  <c r="M24" i="9"/>
  <c r="N89" i="1"/>
  <c r="M20" i="9"/>
  <c r="N88" i="1"/>
  <c r="M19" i="9"/>
  <c r="N87" i="1"/>
  <c r="M18" i="9"/>
  <c r="N86" i="1"/>
  <c r="M17" i="9"/>
  <c r="N81" i="1"/>
  <c r="M28" i="8"/>
  <c r="N80" i="1"/>
  <c r="M27" i="8"/>
  <c r="N79" i="1"/>
  <c r="M26" i="8"/>
  <c r="N78" i="1"/>
  <c r="M25" i="8"/>
  <c r="N75" i="1"/>
  <c r="M22" i="8"/>
  <c r="N74" i="1"/>
  <c r="M21" i="8"/>
  <c r="N73" i="1"/>
  <c r="M20" i="8"/>
  <c r="N72" i="1"/>
  <c r="M19" i="8"/>
  <c r="N71" i="1"/>
  <c r="M18" i="8"/>
  <c r="N66" i="1"/>
  <c r="M28" i="7"/>
  <c r="N65" i="1"/>
  <c r="M27" i="7"/>
  <c r="N64" i="1"/>
  <c r="M26" i="7"/>
  <c r="N63" i="1"/>
  <c r="M25" i="7"/>
  <c r="N59" i="1"/>
  <c r="M21" i="7"/>
  <c r="N58" i="1"/>
  <c r="M20" i="7"/>
  <c r="N57" i="1"/>
  <c r="M19" i="7"/>
  <c r="N56" i="1"/>
  <c r="M18" i="7"/>
  <c r="N143" i="1"/>
  <c r="M26" i="12"/>
  <c r="N142" i="1"/>
  <c r="M25" i="12"/>
  <c r="N139" i="1"/>
  <c r="M22" i="12"/>
  <c r="N138" i="1"/>
  <c r="M21" i="12"/>
  <c r="N137" i="1"/>
  <c r="M20" i="12"/>
  <c r="N136" i="1"/>
  <c r="M19" i="12"/>
  <c r="N129" i="1"/>
  <c r="M24" i="11"/>
  <c r="M23" i="10"/>
  <c r="N92" i="1"/>
  <c r="M23" i="9"/>
  <c r="N62" i="1"/>
  <c r="M24" i="7"/>
  <c r="N141" i="1"/>
  <c r="M24" i="12"/>
  <c r="N77" i="1"/>
  <c r="M24" i="8"/>
  <c r="N128" i="1"/>
  <c r="M23" i="11"/>
  <c r="N91" i="1"/>
  <c r="M22" i="9"/>
  <c r="N101" i="1"/>
  <c r="M22" i="10"/>
  <c r="N61" i="1"/>
  <c r="M23" i="7"/>
  <c r="N76" i="1"/>
  <c r="M23" i="8"/>
  <c r="N140" i="1"/>
  <c r="M23" i="12"/>
  <c r="N127" i="1"/>
  <c r="M22" i="11"/>
  <c r="N100" i="1"/>
  <c r="M21" i="10"/>
  <c r="N60" i="1"/>
  <c r="M22" i="7"/>
  <c r="N90" i="1"/>
  <c r="M21" i="9"/>
  <c r="N115" i="1"/>
  <c r="M20" i="2"/>
  <c r="N114" i="1"/>
  <c r="M19" i="2"/>
  <c r="N113" i="1"/>
  <c r="M18" i="2"/>
  <c r="N112" i="1"/>
  <c r="M17" i="2"/>
  <c r="N111" i="1"/>
  <c r="M16" i="2"/>
  <c r="N110" i="1"/>
  <c r="M15" i="2"/>
  <c r="N109" i="1"/>
  <c r="M14" i="2"/>
  <c r="N54" i="1"/>
  <c r="M30" i="6"/>
  <c r="N53" i="1"/>
  <c r="M29" i="6"/>
  <c r="N52" i="1"/>
  <c r="M28" i="6"/>
  <c r="N51" i="1"/>
  <c r="M27" i="6"/>
  <c r="N50" i="1"/>
  <c r="M26" i="6"/>
  <c r="N49" i="1"/>
  <c r="M25" i="6"/>
  <c r="N48" i="1"/>
  <c r="M24" i="6"/>
  <c r="N47" i="1"/>
  <c r="M23" i="6"/>
  <c r="N46" i="1"/>
  <c r="M22" i="6"/>
  <c r="N45" i="1"/>
  <c r="M21" i="6"/>
  <c r="N44" i="1"/>
  <c r="M20" i="6"/>
  <c r="N43" i="1"/>
  <c r="M19" i="6"/>
  <c r="N40" i="1"/>
  <c r="M28" i="5"/>
  <c r="N39" i="1"/>
  <c r="M27" i="5"/>
  <c r="N38" i="1"/>
  <c r="M26" i="5"/>
  <c r="N37" i="1"/>
  <c r="M25" i="5"/>
  <c r="N36" i="1"/>
  <c r="M24" i="5"/>
  <c r="N35" i="1"/>
  <c r="M23" i="5"/>
  <c r="N34" i="1"/>
  <c r="M22" i="5"/>
  <c r="N33" i="1"/>
  <c r="M21" i="5"/>
  <c r="N32" i="1"/>
  <c r="M20" i="5"/>
  <c r="N25" i="1"/>
  <c r="M26" i="4"/>
  <c r="N24" i="1"/>
  <c r="M25" i="4"/>
  <c r="N23" i="1"/>
  <c r="M24" i="4"/>
  <c r="N22" i="1"/>
  <c r="M23" i="4"/>
  <c r="N20" i="1"/>
  <c r="M21" i="4"/>
  <c r="N19" i="1"/>
  <c r="M20" i="4"/>
  <c r="N18" i="1"/>
  <c r="M19" i="4"/>
  <c r="N17" i="1"/>
  <c r="M18" i="4"/>
  <c r="N16" i="1"/>
  <c r="M17" i="4"/>
  <c r="N11" i="1"/>
  <c r="M26" i="3"/>
  <c r="N10" i="1"/>
  <c r="M25" i="3"/>
  <c r="N9" i="1"/>
  <c r="M24" i="3"/>
  <c r="N8" i="1"/>
  <c r="M23" i="3"/>
  <c r="N7" i="1"/>
  <c r="M22" i="3"/>
  <c r="N6" i="1"/>
  <c r="M21" i="3"/>
  <c r="N5" i="1"/>
  <c r="M20" i="3"/>
  <c r="N4" i="1"/>
  <c r="M19" i="3"/>
  <c r="N3" i="1"/>
  <c r="M18" i="3"/>
  <c r="N31" i="1"/>
  <c r="M19" i="5"/>
</calcChain>
</file>

<file path=xl/sharedStrings.xml><?xml version="1.0" encoding="utf-8"?>
<sst xmlns="http://schemas.openxmlformats.org/spreadsheetml/2006/main" count="1646" uniqueCount="350">
  <si>
    <t>Id. original muestra</t>
  </si>
  <si>
    <t>Variedad</t>
  </si>
  <si>
    <t>Valles</t>
  </si>
  <si>
    <t>Fundo</t>
  </si>
  <si>
    <t>Cuartel</t>
  </si>
  <si>
    <t>Hilera</t>
  </si>
  <si>
    <t>N° muestra</t>
  </si>
  <si>
    <t>Fecha muestreo</t>
  </si>
  <si>
    <t>pH</t>
  </si>
  <si>
    <t>Brix</t>
  </si>
  <si>
    <t>N ° Cosecha</t>
  </si>
  <si>
    <t>NaOH</t>
  </si>
  <si>
    <t>Acidez Sulfúrica</t>
  </si>
  <si>
    <t>Acidez Tartárica</t>
  </si>
  <si>
    <t>Peso muestra</t>
  </si>
  <si>
    <t>N° bayas</t>
  </si>
  <si>
    <t>Peso Baya</t>
  </si>
  <si>
    <t>Rendimiento</t>
  </si>
  <si>
    <t>CS26ADOC9-H56-1</t>
  </si>
  <si>
    <t>Cabernet Sauvignon</t>
  </si>
  <si>
    <t>Maipo</t>
  </si>
  <si>
    <t>SAN ADOLFO</t>
  </si>
  <si>
    <t>CS26ADOC9-H56-2</t>
  </si>
  <si>
    <t xml:space="preserve">Cosecha comercial tintos </t>
  </si>
  <si>
    <t>CS26ADOC9-H56-3</t>
  </si>
  <si>
    <t>CS26ADOC9-H56-4</t>
  </si>
  <si>
    <t xml:space="preserve">Fundo </t>
  </si>
  <si>
    <t xml:space="preserve">Variedad </t>
  </si>
  <si>
    <t xml:space="preserve">Fecha cosecha </t>
  </si>
  <si>
    <t>CS26ADOC9-H56-5</t>
  </si>
  <si>
    <t>Idahue</t>
  </si>
  <si>
    <t>CS</t>
  </si>
  <si>
    <t>CS26ADOC9-H56-6</t>
  </si>
  <si>
    <t xml:space="preserve">Nilahue </t>
  </si>
  <si>
    <t>CS26ADOC9-H56-7</t>
  </si>
  <si>
    <t xml:space="preserve">Villa Alegre </t>
  </si>
  <si>
    <t>CA</t>
  </si>
  <si>
    <t>CS26ADOC9-H56-8</t>
  </si>
  <si>
    <t xml:space="preserve">Keule </t>
  </si>
  <si>
    <t>CS26ADOC9-H56-9</t>
  </si>
  <si>
    <t xml:space="preserve">Lourdes </t>
  </si>
  <si>
    <t>CS26ADOC9-H56-10</t>
  </si>
  <si>
    <t>CS26ADOC9-H56-11</t>
  </si>
  <si>
    <t>Peumo</t>
  </si>
  <si>
    <t>CS26ADOC9-H56-12</t>
  </si>
  <si>
    <t xml:space="preserve">Qta Maipo </t>
  </si>
  <si>
    <t>CS26ADOC9-H56-13</t>
  </si>
  <si>
    <t xml:space="preserve">San Adolfo </t>
  </si>
  <si>
    <t>CS26ADOC9-H56-14</t>
  </si>
  <si>
    <t xml:space="preserve">Palo Santo </t>
  </si>
  <si>
    <t>CA26QMAC1-SH-1</t>
  </si>
  <si>
    <t>Carmenere</t>
  </si>
  <si>
    <t>QUINTA MAIPO</t>
  </si>
  <si>
    <t>SH</t>
  </si>
  <si>
    <t xml:space="preserve">Quebrada de agua </t>
  </si>
  <si>
    <t>CA26QMAC1-SH-2</t>
  </si>
  <si>
    <t xml:space="preserve">Rucahue </t>
  </si>
  <si>
    <t>CA26QMAC1-SH-3</t>
  </si>
  <si>
    <t>CA26QMAC1-SH-4</t>
  </si>
  <si>
    <t>CA26QMAC1-SH-5</t>
  </si>
  <si>
    <t xml:space="preserve">Cosechas proyecto </t>
  </si>
  <si>
    <t>CA26QMAC1-SH-6</t>
  </si>
  <si>
    <t>CA26QMAC1-SH-7</t>
  </si>
  <si>
    <t>CA26QMAC1-SH-8</t>
  </si>
  <si>
    <t>CA26QMAC1-SH-9</t>
  </si>
  <si>
    <t>CA26QMAC1-SH-10</t>
  </si>
  <si>
    <t>CA26QMAC1-SH-11</t>
  </si>
  <si>
    <t>CA26QMAC1-SH-12</t>
  </si>
  <si>
    <t>CA26QMAC1-SH-13</t>
  </si>
  <si>
    <t xml:space="preserve">Peumo </t>
  </si>
  <si>
    <t>CA26QMAC1-SH-14</t>
  </si>
  <si>
    <t>CS26IDAC36-H63/76-1</t>
  </si>
  <si>
    <t>Colchagua</t>
  </si>
  <si>
    <t>IDAHUE</t>
  </si>
  <si>
    <t>63/76</t>
  </si>
  <si>
    <t>CS26IDAC36-H63/76-2</t>
  </si>
  <si>
    <t>CS26IDAC36-H63/76-3</t>
  </si>
  <si>
    <t>CS26IDAC36-H63/76-4</t>
  </si>
  <si>
    <t>CS26IDAC36-H63/76-5</t>
  </si>
  <si>
    <t>CS26IDAC36-H63/76-6</t>
  </si>
  <si>
    <t>CS26IDAC36-H63/76-7</t>
  </si>
  <si>
    <t>CS26IDAC36-H63/76-8</t>
  </si>
  <si>
    <t>CS26IDAC36-H63/76-9</t>
  </si>
  <si>
    <t>CS26IDAC36-H63/76-10</t>
  </si>
  <si>
    <t>CS26IDAC36-H63/76-11</t>
  </si>
  <si>
    <t>CS26IDAC36-H63/76-12</t>
  </si>
  <si>
    <t>CS26IDAC36-H63/76-13</t>
  </si>
  <si>
    <t>CS26NILC2-H61/66-1</t>
  </si>
  <si>
    <t>NILAHUE</t>
  </si>
  <si>
    <t>61/66</t>
  </si>
  <si>
    <t>CS26NILC2-H61/66-2</t>
  </si>
  <si>
    <t>CS26NILC2-H61/66-3</t>
  </si>
  <si>
    <t>CS26NILC2-H61/66-4</t>
  </si>
  <si>
    <t>CS26NILC2-H61/66-5</t>
  </si>
  <si>
    <t>CS26NILC2-H61/66-6</t>
  </si>
  <si>
    <t>obermuhle</t>
  </si>
  <si>
    <t>CS26NILC2-H61/66-7</t>
  </si>
  <si>
    <t>CS26NILC2-H61/66-8</t>
  </si>
  <si>
    <t>CS26NILC2-H61/66-9</t>
  </si>
  <si>
    <t>CS26NILC2-H61/66-10</t>
  </si>
  <si>
    <t>CS26NILC2-H61/66-11</t>
  </si>
  <si>
    <t>CS26NILC2-H61/66-12</t>
  </si>
  <si>
    <t>CS26NILC2-H61/66-13</t>
  </si>
  <si>
    <t>CA26PEUC93-H267/271-1</t>
  </si>
  <si>
    <t>Cachapoal</t>
  </si>
  <si>
    <t>PEUMO</t>
  </si>
  <si>
    <t>267/271</t>
  </si>
  <si>
    <t>CA26PEUC93-H267/271-2</t>
  </si>
  <si>
    <t>CA26PEUC93-H267/271-3</t>
  </si>
  <si>
    <t>CA26PEUC93-H267/271-4</t>
  </si>
  <si>
    <t>CA26PEUC93-H267/271-5</t>
  </si>
  <si>
    <t>CA26PEUC93-H267/271-6</t>
  </si>
  <si>
    <t>CA26PEUC93-H267/271-7</t>
  </si>
  <si>
    <t>CA26PEUC93-H267/271-8</t>
  </si>
  <si>
    <t>CA26PEUC93-H267/271-9</t>
  </si>
  <si>
    <t>CA26PEUC93-H267/271-10</t>
  </si>
  <si>
    <t>CA26PEUC93-H267/271-11</t>
  </si>
  <si>
    <t>CA26PEUC93-H267/271-12</t>
  </si>
  <si>
    <t>CA26PEUC93-H267/271-13</t>
  </si>
  <si>
    <t>CA26PEUC93-H267/271-14</t>
  </si>
  <si>
    <t>CA26PEUC93-H267/271-15</t>
  </si>
  <si>
    <t>CA26PSAC42-H30-1</t>
  </si>
  <si>
    <t>PALO SANTO</t>
  </si>
  <si>
    <t>CA26PSAC42-H30-2</t>
  </si>
  <si>
    <t>CA26PSAC42-H30-3</t>
  </si>
  <si>
    <t>CA26PSAC42-H30-4</t>
  </si>
  <si>
    <t>CA26PSAC42-H30-5</t>
  </si>
  <si>
    <t>CA26PSAC42-H30-6</t>
  </si>
  <si>
    <t>CA26PSAC42-H30-7</t>
  </si>
  <si>
    <t>CA26PSAC42-H30-8</t>
  </si>
  <si>
    <t>CA26PSAC42-H30-9</t>
  </si>
  <si>
    <t>CA26PSAC42-H30-10</t>
  </si>
  <si>
    <t>-</t>
  </si>
  <si>
    <t>CA26PSAC42-H30-11</t>
  </si>
  <si>
    <t>CA26PSAC42-H30-12</t>
  </si>
  <si>
    <t>CA26PSAC42-H30-13</t>
  </si>
  <si>
    <t>CA26PSAC42-H30-14</t>
  </si>
  <si>
    <t>CA26PSAC42-H30-15</t>
  </si>
  <si>
    <t>CS26QAGC40-H152-1</t>
  </si>
  <si>
    <t>Maule</t>
  </si>
  <si>
    <t>QUEBRADA DE AGUA</t>
  </si>
  <si>
    <t>CS26QAGC40-H152-2</t>
  </si>
  <si>
    <t>CS26QAGC40-H152-3</t>
  </si>
  <si>
    <t>CS26QAGC40-H152-4</t>
  </si>
  <si>
    <t>CS26QAGC40-H152-5</t>
  </si>
  <si>
    <t>CS26QAGC40-H152-6</t>
  </si>
  <si>
    <t>CS26QAGC40-H152-7</t>
  </si>
  <si>
    <t>CS26QAGC40-H152-8</t>
  </si>
  <si>
    <t>CS26QAGC40-H152-9</t>
  </si>
  <si>
    <t>CS26QAGC40-H152-10</t>
  </si>
  <si>
    <t>CS26KEUC3-H1/6-1</t>
  </si>
  <si>
    <t>KEULE</t>
  </si>
  <si>
    <t>1/6</t>
  </si>
  <si>
    <t>CS26KEUC3-H1/6-2</t>
  </si>
  <si>
    <t>CS26KEUC3-H1/6-3</t>
  </si>
  <si>
    <t>CS26KEUC3-H1/6-4</t>
  </si>
  <si>
    <t>CS26KEUC3-H1/6-5</t>
  </si>
  <si>
    <t>CS26KEUC3-H1/6-6</t>
  </si>
  <si>
    <t>CS26KEUC3-H1/6-7</t>
  </si>
  <si>
    <t>CS26KEUC3-H1/6-8</t>
  </si>
  <si>
    <t>CS26KEUC3-H1/6-9</t>
  </si>
  <si>
    <t>CS26KEUC3-H1/6-10</t>
  </si>
  <si>
    <t>CS26KEUC3-H1/6-11</t>
  </si>
  <si>
    <t>CS26KEUC3-H1/6-12</t>
  </si>
  <si>
    <t>CS26KEUC3-H1/6-13</t>
  </si>
  <si>
    <t>CA26VALC13-H1/13-1</t>
  </si>
  <si>
    <t>VILLA ALEGRE</t>
  </si>
  <si>
    <t>1/13</t>
  </si>
  <si>
    <t>CA26VALC13-H1/13-2</t>
  </si>
  <si>
    <t>CA26VALC13-H1/13-3</t>
  </si>
  <si>
    <t>CA26VALC13-H1/13-4</t>
  </si>
  <si>
    <t>CA26VALC13-H1/13-5</t>
  </si>
  <si>
    <t>CA26VALC13-H1/13-6</t>
  </si>
  <si>
    <t>CA26VALC13-H1/13-7</t>
  </si>
  <si>
    <t>CA26VALC13-H1/13-8</t>
  </si>
  <si>
    <t>CA26VALC13-H1/13-9</t>
  </si>
  <si>
    <t>CA26VALC13-H1/13-10</t>
  </si>
  <si>
    <t>CA26VALC13-H1/13-11</t>
  </si>
  <si>
    <t>CA26LOUC171-H58/65-1</t>
  </si>
  <si>
    <t>LOURDES</t>
  </si>
  <si>
    <t>58/65</t>
  </si>
  <si>
    <t>CA26LOUC171-H58/65-2</t>
  </si>
  <si>
    <t>CA26LOUC171-H58/65-3</t>
  </si>
  <si>
    <t>CA26LOUC171-H58/65-4</t>
  </si>
  <si>
    <t>CA26LOUC171-H58/65-5</t>
  </si>
  <si>
    <t>CA26LOUC171-H58/65-6</t>
  </si>
  <si>
    <t>CA26LOUC171-H58/65-7</t>
  </si>
  <si>
    <t>CA26LOUC171-H58/65-8</t>
  </si>
  <si>
    <t>CA26LOUC171-H58/65-9</t>
  </si>
  <si>
    <t>CA26LOUC171-H58/65-10</t>
  </si>
  <si>
    <t>CA26LOUC171-H58/65-11</t>
  </si>
  <si>
    <t>CA26LOUC171-H58/65-12</t>
  </si>
  <si>
    <t>CA26LOUC171-H58/65-13</t>
  </si>
  <si>
    <t>CS26LOUC207-H58/63-1</t>
  </si>
  <si>
    <t>58/63</t>
  </si>
  <si>
    <t>CS26LOUC207-H58/63-2</t>
  </si>
  <si>
    <t>CS26LOUC207-H58/63-3</t>
  </si>
  <si>
    <t>CS26LOUC207-H58/63-4</t>
  </si>
  <si>
    <t>CS26LOUC207-H58/63-5</t>
  </si>
  <si>
    <t>CS26LOUC207-H58/63-6</t>
  </si>
  <si>
    <t>3.02</t>
  </si>
  <si>
    <t>CS26LOUC207-H58/63-7</t>
  </si>
  <si>
    <t>CS26LOUC207-H58/63-8</t>
  </si>
  <si>
    <t>CS26LOUC207-H58/63-9</t>
  </si>
  <si>
    <t>CS26LOUC207-H58/63-10</t>
  </si>
  <si>
    <t>CS26LOUC207-H58/63-11</t>
  </si>
  <si>
    <t>CS26LOUC207-H58/63-12</t>
  </si>
  <si>
    <t>CS26LOUC207-H58/63-13</t>
  </si>
  <si>
    <t>CS26LOUC207-H58/63-14</t>
  </si>
  <si>
    <t>3.41</t>
  </si>
  <si>
    <t>CA26RUCC 24-H369-1</t>
  </si>
  <si>
    <t>RUCAHUE</t>
  </si>
  <si>
    <t>CA26RUCC 24-H369-2</t>
  </si>
  <si>
    <t>CA26RUCC 24-H369-3</t>
  </si>
  <si>
    <t>CA26RUCC 24-H369-4</t>
  </si>
  <si>
    <t>CA26RUCC 24-H369-5</t>
  </si>
  <si>
    <t>CA26RUCC 24-H369-6</t>
  </si>
  <si>
    <t>CA26RUCC 24-H369-7</t>
  </si>
  <si>
    <t>CA26RUCC 24-H369-8</t>
  </si>
  <si>
    <t>CA26RUCC 24-H369-9</t>
  </si>
  <si>
    <t>CA26RUCC 24-H369-10</t>
  </si>
  <si>
    <t>CA26RUCC 24-H369-11</t>
  </si>
  <si>
    <t>CA26RUCC 24-H369-12</t>
  </si>
  <si>
    <t>CA26RUCC 24-H369-13</t>
  </si>
  <si>
    <t>|</t>
  </si>
  <si>
    <t>Valle</t>
  </si>
  <si>
    <t>Muestreo Fenoles</t>
  </si>
  <si>
    <t>Muestreo</t>
  </si>
  <si>
    <t>Fecha</t>
  </si>
  <si>
    <t>CS25IDAC36-H62/76-1</t>
  </si>
  <si>
    <t>62/76</t>
  </si>
  <si>
    <t>CS25IDAC36-H62/76-2</t>
  </si>
  <si>
    <t>CS25IDAC36-H62/76-3</t>
  </si>
  <si>
    <t>CS25IDAC36-H62/76-4</t>
  </si>
  <si>
    <t>CS25IDAC36-H62/76-5</t>
  </si>
  <si>
    <t>CS25IDAC36-H62/76-6</t>
  </si>
  <si>
    <t>CS25IDAC36-H62/76-7</t>
  </si>
  <si>
    <t>CS25IDAC36-H62/76-8</t>
  </si>
  <si>
    <t>CS25IDAC36-H62/76-9</t>
  </si>
  <si>
    <t>CS25IDAC36-H62/76-10</t>
  </si>
  <si>
    <t>CS25IDAC36-H62/76-11</t>
  </si>
  <si>
    <t>COSECHA</t>
  </si>
  <si>
    <t>CS25NILC2-H61/64-1</t>
  </si>
  <si>
    <t>61/64</t>
  </si>
  <si>
    <t>CS25NILC2-H61/64-2</t>
  </si>
  <si>
    <t>CS25NILC2-H61/64-3</t>
  </si>
  <si>
    <t>CS25NILC2-H61/64-4</t>
  </si>
  <si>
    <t>CS25NILC2-H61/64-5</t>
  </si>
  <si>
    <t>CS25NILC2-H61/64-6</t>
  </si>
  <si>
    <t>CS25NILC2-H61/64-7</t>
  </si>
  <si>
    <t>CS25NILC2-H61/64-8</t>
  </si>
  <si>
    <t>CS25NILC2-H61/64-9</t>
  </si>
  <si>
    <t>CS25NILC2-H61/64-10</t>
  </si>
  <si>
    <t>CS25NILC2-H61/64-11</t>
  </si>
  <si>
    <t>CS25NILC2-H61/64-12</t>
  </si>
  <si>
    <t>CA25PEUC93-H269/271-1</t>
  </si>
  <si>
    <t>269/271</t>
  </si>
  <si>
    <t>CA25PEUC93-H269/271-2</t>
  </si>
  <si>
    <t>CA25PEUC93-H269/271-3</t>
  </si>
  <si>
    <t>CA25PEUC93-H269/271-4</t>
  </si>
  <si>
    <t>CA25PEUC93-H269/271-5</t>
  </si>
  <si>
    <t>CA25PEUC93-H269/271-6</t>
  </si>
  <si>
    <t>CA25PEUC93-H269/271-7</t>
  </si>
  <si>
    <t>CA25PEUC93-H269/271-8</t>
  </si>
  <si>
    <t>CA25PEUC93-H269/271-9</t>
  </si>
  <si>
    <t>CA25PEUC93-H269/271-10</t>
  </si>
  <si>
    <t>CA25PEUC93-H269/271-11</t>
  </si>
  <si>
    <t xml:space="preserve">      </t>
  </si>
  <si>
    <t>CS25KEUC3-H1/7-1</t>
  </si>
  <si>
    <t>1/7</t>
  </si>
  <si>
    <t>CS25KEUC3-H1/7-2</t>
  </si>
  <si>
    <t>CS25KEUC3-H1/7-3</t>
  </si>
  <si>
    <t>CS25KEUC3-H1/7-4</t>
  </si>
  <si>
    <t>CS25KEUC3-H1/7-5</t>
  </si>
  <si>
    <t>CS25KEUC3-H1/7-6</t>
  </si>
  <si>
    <t>CS25KEUC3-H1/7-7</t>
  </si>
  <si>
    <t>CS25KEUC3-H1/7-8</t>
  </si>
  <si>
    <t>CS25KEUC3-H1/7-9</t>
  </si>
  <si>
    <t>CS25KEUC3-H1/7-10</t>
  </si>
  <si>
    <t>CA25VALC13-H1/15-1</t>
  </si>
  <si>
    <t>1/15</t>
  </si>
  <si>
    <t>CA25VALC13-H1/15-2</t>
  </si>
  <si>
    <t>CA25VALC13-H1/15-3</t>
  </si>
  <si>
    <t>CA25VALC13-H1/15-4</t>
  </si>
  <si>
    <t>CA25VALC13-H1/15-5</t>
  </si>
  <si>
    <t>CA25VALC13-H1/15-6</t>
  </si>
  <si>
    <t>CA25VALC13-H1/15-7</t>
  </si>
  <si>
    <t>CS25LOUC207-H58/61-1</t>
  </si>
  <si>
    <t>58/61</t>
  </si>
  <si>
    <t>CS25LOUC207-H58/61-2</t>
  </si>
  <si>
    <t>CS25LOUC207-H58/61-3</t>
  </si>
  <si>
    <t>CS25LOUC207-H58/61-4</t>
  </si>
  <si>
    <t>CS25LOUC207-H58/61-5</t>
  </si>
  <si>
    <t>CS25LOUC207-H58/61-6</t>
  </si>
  <si>
    <t>CS25LOUC207-H58/61-7</t>
  </si>
  <si>
    <t>CS25LOUC207-H58/61-8</t>
  </si>
  <si>
    <t>CS25LOUC207-H58/61-9</t>
  </si>
  <si>
    <t>CS25LOUC207-H58/61-10</t>
  </si>
  <si>
    <t>*cosecha del 25/02</t>
  </si>
  <si>
    <t>CA25LOUC171-H58/63-1</t>
  </si>
  <si>
    <t>CA25LOUC171-H58/63-2</t>
  </si>
  <si>
    <t>CA25LOUC171-H58/63-3</t>
  </si>
  <si>
    <t>CA25LOUC171-H58/63-4</t>
  </si>
  <si>
    <t>CA25LOUC171-H58/63-5</t>
  </si>
  <si>
    <t>CA25LOUC171-H58/63-6</t>
  </si>
  <si>
    <t>CA25LOUC171-H58/63-7</t>
  </si>
  <si>
    <t>CA25LOUC171-H58/63-8</t>
  </si>
  <si>
    <t>CA25LOUC171-H58/63-9</t>
  </si>
  <si>
    <t>CA25QMAC1-SH-1</t>
  </si>
  <si>
    <t> </t>
  </si>
  <si>
    <t>CA25QMAC1-SH-2</t>
  </si>
  <si>
    <t>CA25QMAC1-SH-3</t>
  </si>
  <si>
    <t>CA25QMAC1-SH-4</t>
  </si>
  <si>
    <t>CA25QMAC1-SH-5</t>
  </si>
  <si>
    <t>CA25QMAC1-SH-6</t>
  </si>
  <si>
    <t>CA25QMAC1-SH-7</t>
  </si>
  <si>
    <t>CA25QMAC1-SH-8</t>
  </si>
  <si>
    <t>CA25QMAC1-SH-9</t>
  </si>
  <si>
    <t>CA25QMAC1-SH-10</t>
  </si>
  <si>
    <t>CS25ADOC9-H56-1</t>
  </si>
  <si>
    <t>CS25ADOC9-H56-2</t>
  </si>
  <si>
    <t>CS25ADOC9-H56-3</t>
  </si>
  <si>
    <t>CS25ADOC9-H56-4</t>
  </si>
  <si>
    <t>CS25ADOC9-H56-5</t>
  </si>
  <si>
    <t>CS25ADOC9-H56-6</t>
  </si>
  <si>
    <t>CS25ADOC9-H56-7</t>
  </si>
  <si>
    <t>CS25ADOC9-H56-8</t>
  </si>
  <si>
    <t>CS25ADOC9-H56-9</t>
  </si>
  <si>
    <t>CS25ADOC9-H56-10</t>
  </si>
  <si>
    <t>CA25PSAC42-H30-1</t>
  </si>
  <si>
    <t>CA25PSAC42-H30-2</t>
  </si>
  <si>
    <t>CA25PSAC42-H30-3</t>
  </si>
  <si>
    <t>CA25PSAC42-H30-4</t>
  </si>
  <si>
    <t>CA25PSAC42-H30-5</t>
  </si>
  <si>
    <t>CA25PSAC42-H30-6</t>
  </si>
  <si>
    <t>CA25PSAC42-H30-7</t>
  </si>
  <si>
    <t>CA25PSAC42-H30-8</t>
  </si>
  <si>
    <t>CA25PSAC42-H30-9</t>
  </si>
  <si>
    <t>CA25PSAC42-H30-10</t>
  </si>
  <si>
    <t>CA25PSAC42-H30-11</t>
  </si>
  <si>
    <t>CS25QAGC40-H152-1</t>
  </si>
  <si>
    <t>CS25QAGC40-H152-2</t>
  </si>
  <si>
    <t>CS25QAGC40-H152-3</t>
  </si>
  <si>
    <t>CS25QAGC40-H152-4</t>
  </si>
  <si>
    <t>CS25QAGC40-H152-5</t>
  </si>
  <si>
    <t>CS25QAGC40-H152-6</t>
  </si>
  <si>
    <t>CS25QAGC40-H152-7</t>
  </si>
  <si>
    <t>CS25QAGC40-H152-8</t>
  </si>
  <si>
    <t>CS25QAGC40-H152-9</t>
  </si>
  <si>
    <t>CS25QAGC40-H152-10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</si>
</sst>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dd\-mm\-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9C0006"/>
      <name val="Aptos Narrow"/>
      <family val="2"/>
    </font>
    <font>
      <sz val="11"/>
      <color rgb="FF9C0006"/>
      <name val="Aptos Narrow"/>
      <family val="2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5D65A"/>
        <bgColor rgb="FFC0E6F5"/>
      </patternFill>
    </fill>
    <fill>
      <patternFill patternType="solid">
        <fgColor rgb="FF45D65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4" fontId="3" fillId="7" borderId="4" xfId="0" applyNumberFormat="1" applyFont="1" applyFill="1" applyBorder="1" applyAlignment="1">
      <alignment horizontal="center" vertical="center"/>
    </xf>
    <xf numFmtId="14" fontId="3" fillId="8" borderId="4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3" fillId="8" borderId="14" xfId="0" applyNumberFormat="1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9" borderId="4" xfId="0" applyNumberFormat="1" applyFont="1" applyFill="1" applyBorder="1" applyAlignment="1">
      <alignment horizontal="center"/>
    </xf>
    <xf numFmtId="14" fontId="3" fillId="10" borderId="4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4" fontId="3" fillId="10" borderId="14" xfId="0" applyNumberFormat="1" applyFont="1" applyFill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3" fillId="9" borderId="14" xfId="0" applyNumberFormat="1" applyFont="1" applyFill="1" applyBorder="1" applyAlignment="1">
      <alignment horizontal="center"/>
    </xf>
    <xf numFmtId="14" fontId="3" fillId="10" borderId="4" xfId="0" applyNumberFormat="1" applyFont="1" applyFill="1" applyBorder="1" applyAlignment="1">
      <alignment horizontal="center" vertical="center"/>
    </xf>
    <xf numFmtId="14" fontId="3" fillId="10" borderId="1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4" fontId="9" fillId="4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49" fontId="8" fillId="4" borderId="4" xfId="0" applyNumberFormat="1" applyFont="1" applyFill="1" applyBorder="1" applyAlignment="1">
      <alignment horizontal="center"/>
    </xf>
    <xf numFmtId="164" fontId="8" fillId="4" borderId="4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0" xfId="0" applyBorder="1"/>
    <xf numFmtId="0" fontId="8" fillId="5" borderId="0" xfId="0" applyFont="1" applyFill="1" applyAlignment="1">
      <alignment horizontal="center" vertical="center"/>
    </xf>
    <xf numFmtId="14" fontId="9" fillId="4" borderId="0" xfId="0" applyNumberFormat="1" applyFont="1" applyFill="1" applyAlignment="1">
      <alignment horizontal="center" vertical="center"/>
    </xf>
    <xf numFmtId="0" fontId="0" fillId="0" borderId="18" xfId="0" applyBorder="1"/>
    <xf numFmtId="0" fontId="0" fillId="0" borderId="12" xfId="0" applyBorder="1"/>
    <xf numFmtId="0" fontId="0" fillId="0" borderId="15" xfId="0" applyBorder="1"/>
    <xf numFmtId="14" fontId="3" fillId="8" borderId="16" xfId="0" applyNumberFormat="1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11" borderId="21" xfId="0" applyFill="1" applyBorder="1"/>
    <xf numFmtId="0" fontId="0" fillId="11" borderId="20" xfId="0" applyFill="1" applyBorder="1"/>
    <xf numFmtId="0" fontId="0" fillId="12" borderId="21" xfId="0" applyFill="1" applyBorder="1"/>
    <xf numFmtId="0" fontId="0" fillId="12" borderId="20" xfId="0" applyFill="1" applyBorder="1"/>
    <xf numFmtId="165" fontId="0" fillId="0" borderId="21" xfId="0" applyNumberFormat="1" applyBorder="1"/>
    <xf numFmtId="14" fontId="0" fillId="0" borderId="0" xfId="0" applyNumberFormat="1"/>
    <xf numFmtId="165" fontId="0" fillId="11" borderId="21" xfId="0" applyNumberFormat="1" applyFill="1" applyBorder="1"/>
    <xf numFmtId="165" fontId="0" fillId="12" borderId="20" xfId="0" applyNumberFormat="1" applyFill="1" applyBorder="1"/>
    <xf numFmtId="165" fontId="0" fillId="12" borderId="2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'CS-Lourdes'!$J$16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'CS-Lourdes'!$I$17:$I$26</c:f>
              <c:numCache>
                <c:formatCode>m/d/yyyy</c:formatCode>
                <c:ptCount val="10"/>
                <c:pt idx="0">
                  <c:v>46034</c:v>
                </c:pt>
                <c:pt idx="1">
                  <c:v>46042</c:v>
                </c:pt>
                <c:pt idx="2">
                  <c:v>46049</c:v>
                </c:pt>
                <c:pt idx="3">
                  <c:v>46056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46085</c:v>
                </c:pt>
                <c:pt idx="8">
                  <c:v>46093</c:v>
                </c:pt>
                <c:pt idx="9">
                  <c:v>46100</c:v>
                </c:pt>
              </c:numCache>
            </c:numRef>
          </c:cat>
          <c:val>
            <c:numRef>
              <c:f>'CS-Lourdes'!$J$17:$J$26</c:f>
              <c:numCache>
                <c:formatCode>General</c:formatCode>
                <c:ptCount val="10"/>
                <c:pt idx="0">
                  <c:v>2.63</c:v>
                </c:pt>
                <c:pt idx="1">
                  <c:v>2.94</c:v>
                </c:pt>
                <c:pt idx="2">
                  <c:v>2.93</c:v>
                </c:pt>
                <c:pt idx="3">
                  <c:v>3.13</c:v>
                </c:pt>
                <c:pt idx="4">
                  <c:v>3.12</c:v>
                </c:pt>
                <c:pt idx="5">
                  <c:v>0</c:v>
                </c:pt>
                <c:pt idx="6">
                  <c:v>3.25</c:v>
                </c:pt>
                <c:pt idx="7">
                  <c:v>3.28</c:v>
                </c:pt>
                <c:pt idx="8">
                  <c:v>3.2</c:v>
                </c:pt>
                <c:pt idx="9">
                  <c:v>3.39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E-44CB-A3AE-D2CD4A6A191C}"/>
            </c:ext>
          </c:extLst>
        </c:ser>
        <c:ser>
          <c:idx val="1"/>
          <c:order val="1"/>
          <c:tx>
            <c:strRef>
              <c:f>'CS-Lourdes'!$K$16</c:f>
              <c:strCache>
                <c:ptCount val="1"/>
                <c:pt idx="0">
                  <c:v>Brix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'CS-Lourdes'!$I$17:$I$26</c:f>
              <c:numCache>
                <c:formatCode>m/d/yyyy</c:formatCode>
                <c:ptCount val="10"/>
                <c:pt idx="0">
                  <c:v>46034</c:v>
                </c:pt>
                <c:pt idx="1">
                  <c:v>46042</c:v>
                </c:pt>
                <c:pt idx="2">
                  <c:v>46049</c:v>
                </c:pt>
                <c:pt idx="3">
                  <c:v>46056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46085</c:v>
                </c:pt>
                <c:pt idx="8">
                  <c:v>46093</c:v>
                </c:pt>
                <c:pt idx="9">
                  <c:v>46100</c:v>
                </c:pt>
              </c:numCache>
            </c:numRef>
          </c:cat>
          <c:val>
            <c:numRef>
              <c:f>'CS-Lourdes'!$K$17:$K$26</c:f>
              <c:numCache>
                <c:formatCode>General</c:formatCode>
                <c:ptCount val="10"/>
                <c:pt idx="0">
                  <c:v>12.1</c:v>
                </c:pt>
                <c:pt idx="1">
                  <c:v>14.9</c:v>
                </c:pt>
                <c:pt idx="2">
                  <c:v>17.600000000000001</c:v>
                </c:pt>
                <c:pt idx="3">
                  <c:v>19.3</c:v>
                </c:pt>
                <c:pt idx="4">
                  <c:v>20.2</c:v>
                </c:pt>
                <c:pt idx="5">
                  <c:v>21.9</c:v>
                </c:pt>
                <c:pt idx="6">
                  <c:v>23</c:v>
                </c:pt>
                <c:pt idx="7">
                  <c:v>23.4</c:v>
                </c:pt>
                <c:pt idx="8">
                  <c:v>23.8</c:v>
                </c:pt>
                <c:pt idx="9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5E-44CB-A3AE-D2CD4A6A191C}"/>
            </c:ext>
          </c:extLst>
        </c:ser>
        <c:ser>
          <c:idx val="2"/>
          <c:order val="2"/>
          <c:tx>
            <c:strRef>
              <c:f>'CS-Lourdes'!$L$16</c:f>
              <c:strCache>
                <c:ptCount val="1"/>
                <c:pt idx="0">
                  <c:v>Acidez Sulfúrica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'CS-Lourdes'!$I$17:$I$26</c:f>
              <c:numCache>
                <c:formatCode>m/d/yyyy</c:formatCode>
                <c:ptCount val="10"/>
                <c:pt idx="0">
                  <c:v>46034</c:v>
                </c:pt>
                <c:pt idx="1">
                  <c:v>46042</c:v>
                </c:pt>
                <c:pt idx="2">
                  <c:v>46049</c:v>
                </c:pt>
                <c:pt idx="3">
                  <c:v>46056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46085</c:v>
                </c:pt>
                <c:pt idx="8">
                  <c:v>46093</c:v>
                </c:pt>
                <c:pt idx="9">
                  <c:v>46100</c:v>
                </c:pt>
              </c:numCache>
            </c:numRef>
          </c:cat>
          <c:val>
            <c:numRef>
              <c:f>'CS-Lourdes'!$L$17:$L$26</c:f>
              <c:numCache>
                <c:formatCode>General</c:formatCode>
                <c:ptCount val="10"/>
                <c:pt idx="0">
                  <c:v>16.081800000000001</c:v>
                </c:pt>
                <c:pt idx="1">
                  <c:v>13.9062</c:v>
                </c:pt>
                <c:pt idx="2">
                  <c:v>9.4962</c:v>
                </c:pt>
                <c:pt idx="3">
                  <c:v>6.2720000000000002</c:v>
                </c:pt>
                <c:pt idx="4">
                  <c:v>6.1347999999999994</c:v>
                </c:pt>
                <c:pt idx="5">
                  <c:v>5.8015999999999996</c:v>
                </c:pt>
                <c:pt idx="6">
                  <c:v>4.7039999999999997</c:v>
                </c:pt>
                <c:pt idx="7">
                  <c:v>4.6011000000000006</c:v>
                </c:pt>
                <c:pt idx="8">
                  <c:v>4.41</c:v>
                </c:pt>
                <c:pt idx="9">
                  <c:v>4.0424999999999995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5E-44CB-A3AE-D2CD4A6A191C}"/>
            </c:ext>
          </c:extLst>
        </c:ser>
        <c:ser>
          <c:idx val="3"/>
          <c:order val="3"/>
          <c:tx>
            <c:strRef>
              <c:f>'CS-Lourdes'!$M$16</c:f>
              <c:strCache>
                <c:ptCount val="1"/>
                <c:pt idx="0">
                  <c:v>Acidez Tartárica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'CS-Lourdes'!$I$17:$I$26</c:f>
              <c:numCache>
                <c:formatCode>m/d/yyyy</c:formatCode>
                <c:ptCount val="10"/>
                <c:pt idx="0">
                  <c:v>46034</c:v>
                </c:pt>
                <c:pt idx="1">
                  <c:v>46042</c:v>
                </c:pt>
                <c:pt idx="2">
                  <c:v>46049</c:v>
                </c:pt>
                <c:pt idx="3">
                  <c:v>46056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46085</c:v>
                </c:pt>
                <c:pt idx="8">
                  <c:v>46093</c:v>
                </c:pt>
                <c:pt idx="9">
                  <c:v>46100</c:v>
                </c:pt>
              </c:numCache>
            </c:numRef>
          </c:cat>
          <c:val>
            <c:numRef>
              <c:f>'CS-Lourdes'!$M$17:$M$26</c:f>
              <c:numCache>
                <c:formatCode>General</c:formatCode>
                <c:ptCount val="10"/>
                <c:pt idx="0">
                  <c:v>24.605154000000002</c:v>
                </c:pt>
                <c:pt idx="1">
                  <c:v>21.276486000000002</c:v>
                </c:pt>
                <c:pt idx="2">
                  <c:v>14.529186000000001</c:v>
                </c:pt>
                <c:pt idx="3">
                  <c:v>9.5961600000000011</c:v>
                </c:pt>
                <c:pt idx="4">
                  <c:v>9.3862439999999996</c:v>
                </c:pt>
                <c:pt idx="5">
                  <c:v>8.8764479999999999</c:v>
                </c:pt>
                <c:pt idx="6">
                  <c:v>7.19712</c:v>
                </c:pt>
                <c:pt idx="7">
                  <c:v>7.039683000000001</c:v>
                </c:pt>
                <c:pt idx="8">
                  <c:v>6.7473000000000001</c:v>
                </c:pt>
                <c:pt idx="9">
                  <c:v>6.1850249999999996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5E-44CB-A3AE-D2CD4A6A191C}"/>
            </c:ext>
          </c:extLst>
        </c:ser>
        <c:ser>
          <c:idx val="4"/>
          <c:order val="4"/>
          <c:tx>
            <c:strRef>
              <c:f>'CS-Lourdes'!$N$16</c:f>
              <c:strCache>
                <c:ptCount val="1"/>
                <c:pt idx="0">
                  <c:v>Peso Baya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'CS-Lourdes'!$I$17:$I$26</c:f>
              <c:numCache>
                <c:formatCode>m/d/yyyy</c:formatCode>
                <c:ptCount val="10"/>
                <c:pt idx="0">
                  <c:v>46034</c:v>
                </c:pt>
                <c:pt idx="1">
                  <c:v>46042</c:v>
                </c:pt>
                <c:pt idx="2">
                  <c:v>46049</c:v>
                </c:pt>
                <c:pt idx="3">
                  <c:v>46056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46085</c:v>
                </c:pt>
                <c:pt idx="8">
                  <c:v>46093</c:v>
                </c:pt>
                <c:pt idx="9">
                  <c:v>46100</c:v>
                </c:pt>
              </c:numCache>
            </c:numRef>
          </c:cat>
          <c:val>
            <c:numRef>
              <c:f>'CS-Lourdes'!$N$17:$N$26</c:f>
              <c:numCache>
                <c:formatCode>General</c:formatCode>
                <c:ptCount val="10"/>
                <c:pt idx="0">
                  <c:v>0.85680000000000012</c:v>
                </c:pt>
                <c:pt idx="1">
                  <c:v>1.0702500000000001</c:v>
                </c:pt>
                <c:pt idx="2">
                  <c:v>1.3025</c:v>
                </c:pt>
                <c:pt idx="3">
                  <c:v>1.32565</c:v>
                </c:pt>
                <c:pt idx="4">
                  <c:v>1.3984999999999999</c:v>
                </c:pt>
                <c:pt idx="5">
                  <c:v>1.4724999999999999</c:v>
                </c:pt>
                <c:pt idx="6">
                  <c:v>1.3880000000000001</c:v>
                </c:pt>
                <c:pt idx="7">
                  <c:v>1.5275000000000001</c:v>
                </c:pt>
                <c:pt idx="8">
                  <c:v>1.516</c:v>
                </c:pt>
                <c:pt idx="9">
                  <c:v>1.554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5E-44CB-A3AE-D2CD4A6A1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452488"/>
        <c:axId val="1717784072"/>
      </c:lineChart>
      <c:dateAx>
        <c:axId val="17144524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784072"/>
        <c:crosses val="autoZero"/>
        <c:auto val="1"/>
        <c:lblOffset val="100"/>
        <c:baseTimeUnit val="days"/>
      </c:dateAx>
      <c:valAx>
        <c:axId val="171778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5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66675</xdr:colOff>
      <xdr:row>12</xdr:row>
      <xdr:rowOff>76200</xdr:rowOff>
    </xdr:from>
    <xdr:to>
      <xdr:col>26</xdr:col>
      <xdr:colOff>371475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C0AC3-6C35-2416-1682-83DF074E3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230A-E414-4090-97E6-6A4DD0CCDE3F}">
  <sheetPr codeName="Hoja1"/>
  <dimension ref="A1:Z162"/>
  <sheetViews>
    <sheetView topLeftCell="O1" workbookViewId="0">
      <pane ySplit="1" topLeftCell="A2" activePane="bottomLeft" state="frozen"/>
      <selection pane="bottomLeft" activeCell="U5" sqref="U5:X17"/>
    </sheetView>
  </sheetViews>
  <sheetFormatPr baseColWidth="10" defaultColWidth="8.5546875" defaultRowHeight="15" customHeight="1" x14ac:dyDescent="0.3"/>
  <cols>
    <col min="1" max="1" width="23.44140625" bestFit="1" customWidth="1"/>
    <col min="2" max="2" width="18.5546875" bestFit="1" customWidth="1"/>
    <col min="3" max="3" width="18.6640625" customWidth="1"/>
    <col min="4" max="4" width="19.5546875" bestFit="1" customWidth="1"/>
    <col min="5" max="5" width="10" bestFit="1" customWidth="1"/>
    <col min="6" max="6" width="8.5546875" bestFit="1" customWidth="1"/>
    <col min="7" max="7" width="6" customWidth="1"/>
    <col min="8" max="8" width="11.109375" style="3" bestFit="1" customWidth="1"/>
    <col min="9" max="9" width="8.44140625" style="1" customWidth="1"/>
    <col min="10" max="11" width="8.5546875" style="1"/>
    <col min="12" max="12" width="8.6640625" style="1" customWidth="1"/>
    <col min="13" max="13" width="17.88671875" style="2" customWidth="1"/>
    <col min="14" max="14" width="17.5546875" style="1" customWidth="1"/>
    <col min="15" max="15" width="14.88671875" style="1" customWidth="1"/>
    <col min="16" max="16" width="11" style="1" customWidth="1"/>
    <col min="17" max="17" width="12.44140625" style="1" customWidth="1"/>
    <col min="18" max="18" width="19.33203125" customWidth="1"/>
    <col min="19" max="19" width="26.44140625" bestFit="1" customWidth="1"/>
    <col min="20" max="20" width="22.44140625" bestFit="1" customWidth="1"/>
    <col min="21" max="28" width="17.5546875" bestFit="1" customWidth="1"/>
    <col min="29" max="29" width="13.5546875" customWidth="1"/>
    <col min="30" max="37" width="20.44140625" bestFit="1" customWidth="1"/>
    <col min="38" max="46" width="17.5546875" bestFit="1" customWidth="1"/>
    <col min="47" max="55" width="22.109375" bestFit="1" customWidth="1"/>
    <col min="56" max="64" width="19.109375" bestFit="1" customWidth="1"/>
    <col min="65" max="73" width="19.5546875" bestFit="1" customWidth="1"/>
    <col min="74" max="74" width="11.88671875" bestFit="1" customWidth="1"/>
    <col min="75" max="82" width="17.44140625" bestFit="1" customWidth="1"/>
    <col min="83" max="91" width="20.44140625" bestFit="1" customWidth="1"/>
    <col min="92" max="100" width="17.5546875" bestFit="1" customWidth="1"/>
    <col min="101" max="109" width="22.109375" bestFit="1" customWidth="1"/>
    <col min="110" max="118" width="19.109375" bestFit="1" customWidth="1"/>
    <col min="119" max="127" width="19.5546875" bestFit="1" customWidth="1"/>
    <col min="128" max="128" width="11.88671875" bestFit="1" customWidth="1"/>
    <col min="129" max="129" width="22.109375" bestFit="1" customWidth="1"/>
    <col min="130" max="130" width="19" bestFit="1" customWidth="1"/>
    <col min="131" max="131" width="22.109375" bestFit="1" customWidth="1"/>
    <col min="132" max="132" width="19" bestFit="1" customWidth="1"/>
    <col min="133" max="133" width="22.109375" bestFit="1" customWidth="1"/>
    <col min="134" max="134" width="19" bestFit="1" customWidth="1"/>
    <col min="135" max="135" width="22.109375" bestFit="1" customWidth="1"/>
    <col min="136" max="136" width="19" bestFit="1" customWidth="1"/>
    <col min="137" max="137" width="22.109375" bestFit="1" customWidth="1"/>
    <col min="138" max="138" width="19" bestFit="1" customWidth="1"/>
    <col min="139" max="139" width="22.109375" bestFit="1" customWidth="1"/>
    <col min="140" max="140" width="19" bestFit="1" customWidth="1"/>
    <col min="141" max="141" width="22.109375" bestFit="1" customWidth="1"/>
    <col min="142" max="142" width="19" bestFit="1" customWidth="1"/>
    <col min="143" max="143" width="22.109375" bestFit="1" customWidth="1"/>
    <col min="144" max="144" width="19" bestFit="1" customWidth="1"/>
    <col min="145" max="145" width="22.109375" bestFit="1" customWidth="1"/>
    <col min="146" max="146" width="21.88671875" bestFit="1" customWidth="1"/>
    <col min="147" max="147" width="25" bestFit="1" customWidth="1"/>
    <col min="148" max="148" width="21.88671875" bestFit="1" customWidth="1"/>
    <col min="149" max="149" width="25" bestFit="1" customWidth="1"/>
    <col min="150" max="150" width="21.88671875" bestFit="1" customWidth="1"/>
    <col min="151" max="151" width="25" bestFit="1" customWidth="1"/>
    <col min="152" max="152" width="21.88671875" bestFit="1" customWidth="1"/>
    <col min="153" max="153" width="25" bestFit="1" customWidth="1"/>
    <col min="154" max="154" width="21.88671875" bestFit="1" customWidth="1"/>
    <col min="155" max="155" width="25" bestFit="1" customWidth="1"/>
    <col min="156" max="156" width="21.88671875" bestFit="1" customWidth="1"/>
    <col min="157" max="157" width="25" bestFit="1" customWidth="1"/>
    <col min="158" max="158" width="21.88671875" bestFit="1" customWidth="1"/>
    <col min="159" max="159" width="25" bestFit="1" customWidth="1"/>
    <col min="160" max="160" width="21.88671875" bestFit="1" customWidth="1"/>
    <col min="161" max="161" width="25" bestFit="1" customWidth="1"/>
    <col min="162" max="162" width="21.88671875" bestFit="1" customWidth="1"/>
    <col min="163" max="163" width="25" bestFit="1" customWidth="1"/>
    <col min="164" max="164" width="19.109375" bestFit="1" customWidth="1"/>
    <col min="165" max="165" width="22.44140625" bestFit="1" customWidth="1"/>
    <col min="166" max="166" width="19.109375" bestFit="1" customWidth="1"/>
    <col min="167" max="167" width="22.44140625" bestFit="1" customWidth="1"/>
    <col min="168" max="168" width="19.109375" bestFit="1" customWidth="1"/>
    <col min="169" max="169" width="22.44140625" bestFit="1" customWidth="1"/>
    <col min="170" max="170" width="19.109375" bestFit="1" customWidth="1"/>
    <col min="171" max="171" width="22.44140625" bestFit="1" customWidth="1"/>
    <col min="172" max="172" width="19.109375" bestFit="1" customWidth="1"/>
    <col min="173" max="173" width="22.44140625" bestFit="1" customWidth="1"/>
    <col min="174" max="174" width="19.109375" bestFit="1" customWidth="1"/>
    <col min="175" max="175" width="22.44140625" bestFit="1" customWidth="1"/>
    <col min="176" max="176" width="19.109375" bestFit="1" customWidth="1"/>
    <col min="177" max="177" width="22.44140625" bestFit="1" customWidth="1"/>
    <col min="178" max="178" width="19.109375" bestFit="1" customWidth="1"/>
    <col min="179" max="179" width="22.44140625" bestFit="1" customWidth="1"/>
    <col min="180" max="180" width="19.109375" bestFit="1" customWidth="1"/>
    <col min="181" max="181" width="22.44140625" bestFit="1" customWidth="1"/>
    <col min="182" max="182" width="23.44140625" bestFit="1" customWidth="1"/>
    <col min="183" max="183" width="26.44140625" bestFit="1" customWidth="1"/>
    <col min="184" max="184" width="23.44140625" bestFit="1" customWidth="1"/>
    <col min="185" max="185" width="26.44140625" bestFit="1" customWidth="1"/>
    <col min="186" max="186" width="23.44140625" bestFit="1" customWidth="1"/>
    <col min="187" max="187" width="26.44140625" bestFit="1" customWidth="1"/>
    <col min="188" max="188" width="23.44140625" bestFit="1" customWidth="1"/>
    <col min="189" max="189" width="26.44140625" bestFit="1" customWidth="1"/>
    <col min="190" max="190" width="23.44140625" bestFit="1" customWidth="1"/>
    <col min="191" max="191" width="26.44140625" bestFit="1" customWidth="1"/>
    <col min="192" max="192" width="23.44140625" bestFit="1" customWidth="1"/>
    <col min="193" max="193" width="26.44140625" bestFit="1" customWidth="1"/>
    <col min="194" max="194" width="23.44140625" bestFit="1" customWidth="1"/>
    <col min="195" max="195" width="26.44140625" bestFit="1" customWidth="1"/>
    <col min="196" max="196" width="23.44140625" bestFit="1" customWidth="1"/>
    <col min="197" max="197" width="26.44140625" bestFit="1" customWidth="1"/>
    <col min="198" max="198" width="23.44140625" bestFit="1" customWidth="1"/>
    <col min="199" max="199" width="26.44140625" bestFit="1" customWidth="1"/>
    <col min="200" max="200" width="20.44140625" bestFit="1" customWidth="1"/>
    <col min="201" max="201" width="24" bestFit="1" customWidth="1"/>
    <col min="202" max="202" width="20.44140625" bestFit="1" customWidth="1"/>
    <col min="203" max="203" width="24" bestFit="1" customWidth="1"/>
    <col min="204" max="204" width="20.44140625" bestFit="1" customWidth="1"/>
    <col min="205" max="205" width="24" bestFit="1" customWidth="1"/>
    <col min="206" max="206" width="20.44140625" bestFit="1" customWidth="1"/>
    <col min="207" max="207" width="24" bestFit="1" customWidth="1"/>
    <col min="208" max="208" width="20.44140625" bestFit="1" customWidth="1"/>
    <col min="209" max="209" width="24" bestFit="1" customWidth="1"/>
    <col min="210" max="210" width="20.44140625" bestFit="1" customWidth="1"/>
    <col min="211" max="211" width="24" bestFit="1" customWidth="1"/>
    <col min="212" max="212" width="20.44140625" bestFit="1" customWidth="1"/>
    <col min="213" max="213" width="24" bestFit="1" customWidth="1"/>
    <col min="214" max="214" width="20.44140625" bestFit="1" customWidth="1"/>
    <col min="215" max="215" width="24" bestFit="1" customWidth="1"/>
    <col min="216" max="216" width="20.44140625" bestFit="1" customWidth="1"/>
    <col min="217" max="217" width="24" bestFit="1" customWidth="1"/>
    <col min="218" max="218" width="21" bestFit="1" customWidth="1"/>
    <col min="219" max="219" width="24.109375" bestFit="1" customWidth="1"/>
    <col min="220" max="220" width="21" bestFit="1" customWidth="1"/>
    <col min="221" max="221" width="24.109375" bestFit="1" customWidth="1"/>
    <col min="222" max="222" width="21" bestFit="1" customWidth="1"/>
    <col min="223" max="223" width="24.109375" bestFit="1" customWidth="1"/>
    <col min="224" max="224" width="21" bestFit="1" customWidth="1"/>
    <col min="225" max="225" width="24.109375" bestFit="1" customWidth="1"/>
    <col min="226" max="226" width="21" bestFit="1" customWidth="1"/>
    <col min="227" max="227" width="24.109375" bestFit="1" customWidth="1"/>
    <col min="228" max="228" width="21" bestFit="1" customWidth="1"/>
    <col min="229" max="229" width="24.109375" bestFit="1" customWidth="1"/>
    <col min="230" max="230" width="21" bestFit="1" customWidth="1"/>
    <col min="231" max="231" width="24.109375" bestFit="1" customWidth="1"/>
    <col min="232" max="232" width="21" bestFit="1" customWidth="1"/>
    <col min="233" max="233" width="24.109375" bestFit="1" customWidth="1"/>
    <col min="234" max="234" width="21" bestFit="1" customWidth="1"/>
    <col min="235" max="235" width="24.109375" bestFit="1" customWidth="1"/>
    <col min="236" max="236" width="11.88671875" bestFit="1" customWidth="1"/>
  </cols>
  <sheetData>
    <row r="1" spans="1:24" ht="13.65" customHeight="1" x14ac:dyDescent="0.3">
      <c r="A1" s="75" t="s">
        <v>0</v>
      </c>
      <c r="B1" s="75" t="s">
        <v>1</v>
      </c>
      <c r="C1" s="75" t="s">
        <v>2</v>
      </c>
      <c r="D1" s="76" t="s">
        <v>3</v>
      </c>
      <c r="E1" s="76" t="s">
        <v>4</v>
      </c>
      <c r="F1" s="76" t="s">
        <v>5</v>
      </c>
      <c r="G1" s="77" t="s">
        <v>6</v>
      </c>
      <c r="H1" s="78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9" t="s">
        <v>12</v>
      </c>
      <c r="N1" s="80" t="s">
        <v>13</v>
      </c>
      <c r="O1" s="80" t="s">
        <v>14</v>
      </c>
      <c r="P1" s="80" t="s">
        <v>15</v>
      </c>
      <c r="Q1" s="76" t="s">
        <v>16</v>
      </c>
      <c r="R1" s="76" t="s">
        <v>17</v>
      </c>
    </row>
    <row r="2" spans="1:24" ht="15" customHeight="1" x14ac:dyDescent="0.3">
      <c r="A2" s="81" t="s">
        <v>18</v>
      </c>
      <c r="B2" s="81" t="s">
        <v>19</v>
      </c>
      <c r="C2" s="81" t="s">
        <v>20</v>
      </c>
      <c r="D2" s="82" t="s">
        <v>21</v>
      </c>
      <c r="E2" s="82">
        <v>9</v>
      </c>
      <c r="F2" s="82">
        <v>56</v>
      </c>
      <c r="G2" s="82" t="str">
        <f>RIGHT(A2,1)</f>
        <v>1</v>
      </c>
      <c r="H2" s="83">
        <v>46042</v>
      </c>
      <c r="I2" s="84">
        <v>2.81</v>
      </c>
      <c r="J2" s="84">
        <v>15.9</v>
      </c>
      <c r="K2" s="84"/>
      <c r="L2" s="85">
        <v>24.84</v>
      </c>
      <c r="M2" s="86">
        <f t="shared" ref="M2:M80" si="0">L2*0.49</f>
        <v>12.1716</v>
      </c>
      <c r="N2" s="84">
        <f>M2*1.53</f>
        <v>18.622547999999998</v>
      </c>
      <c r="O2" s="85">
        <v>183.28</v>
      </c>
      <c r="P2" s="85">
        <v>200</v>
      </c>
      <c r="Q2" s="84">
        <f>O2/P2</f>
        <v>0.91639999999999999</v>
      </c>
      <c r="R2" t="e">
        <f>IF(OR(K2="",VALUE(K2)&gt;5),NA(),CHOOSE(VALUE(K2),17667,14967,15967,16975,14561))</f>
        <v>#N/A</v>
      </c>
      <c r="S2">
        <v>17667</v>
      </c>
    </row>
    <row r="3" spans="1:24" ht="15" customHeight="1" x14ac:dyDescent="0.3">
      <c r="A3" s="81" t="s">
        <v>22</v>
      </c>
      <c r="B3" s="81" t="s">
        <v>19</v>
      </c>
      <c r="C3" s="81" t="s">
        <v>20</v>
      </c>
      <c r="D3" s="82" t="s">
        <v>21</v>
      </c>
      <c r="E3" s="82">
        <v>9</v>
      </c>
      <c r="F3" s="82">
        <v>56</v>
      </c>
      <c r="G3" s="82" t="str">
        <f t="shared" ref="G3:G79" si="1">RIGHT(A3,1)</f>
        <v>2</v>
      </c>
      <c r="H3" s="83">
        <v>46048</v>
      </c>
      <c r="I3" s="84">
        <v>2.97</v>
      </c>
      <c r="J3" s="84">
        <v>16.600000000000001</v>
      </c>
      <c r="K3" s="84"/>
      <c r="L3" s="85">
        <v>19.260000000000002</v>
      </c>
      <c r="M3" s="86">
        <f t="shared" si="0"/>
        <v>9.4374000000000002</v>
      </c>
      <c r="N3" s="84">
        <f t="shared" ref="N3:N81" si="2">M3*1.53</f>
        <v>14.439222000000001</v>
      </c>
      <c r="O3" s="85">
        <v>192.61</v>
      </c>
      <c r="P3" s="85">
        <v>200</v>
      </c>
      <c r="Q3" s="84">
        <f t="shared" ref="Q3:Q15" si="3">O3/P3</f>
        <v>0.96305000000000007</v>
      </c>
      <c r="R3" t="e">
        <f t="shared" ref="R3:R65" si="4">IF(OR(K3="",VALUE(K3)&gt;5),NA(),CHOOSE(VALUE(K3),17667,14967,15967,16975,14561))</f>
        <v>#N/A</v>
      </c>
      <c r="S3">
        <v>14967</v>
      </c>
      <c r="U3" t="s">
        <v>23</v>
      </c>
    </row>
    <row r="4" spans="1:24" ht="15" customHeight="1" x14ac:dyDescent="0.3">
      <c r="A4" s="81" t="s">
        <v>24</v>
      </c>
      <c r="B4" s="81" t="s">
        <v>19</v>
      </c>
      <c r="C4" s="81" t="s">
        <v>20</v>
      </c>
      <c r="D4" s="82" t="s">
        <v>21</v>
      </c>
      <c r="E4" s="82">
        <v>9</v>
      </c>
      <c r="F4" s="82">
        <v>56</v>
      </c>
      <c r="G4" s="82" t="str">
        <f t="shared" si="1"/>
        <v>3</v>
      </c>
      <c r="H4" s="83">
        <v>46055</v>
      </c>
      <c r="I4" s="84">
        <v>3.12</v>
      </c>
      <c r="J4" s="84">
        <v>17.5</v>
      </c>
      <c r="K4" s="84"/>
      <c r="L4" s="85">
        <v>15.56</v>
      </c>
      <c r="M4" s="86">
        <f t="shared" si="0"/>
        <v>7.6244000000000005</v>
      </c>
      <c r="N4" s="84">
        <f t="shared" si="2"/>
        <v>11.665332000000001</v>
      </c>
      <c r="O4" s="85">
        <v>188.87</v>
      </c>
      <c r="P4" s="85">
        <v>200</v>
      </c>
      <c r="Q4" s="84">
        <f t="shared" si="3"/>
        <v>0.94435000000000002</v>
      </c>
      <c r="R4" t="e">
        <f t="shared" si="4"/>
        <v>#N/A</v>
      </c>
      <c r="S4">
        <v>15967</v>
      </c>
    </row>
    <row r="5" spans="1:24" ht="15" customHeight="1" x14ac:dyDescent="0.3">
      <c r="A5" s="81" t="s">
        <v>25</v>
      </c>
      <c r="B5" s="81" t="s">
        <v>19</v>
      </c>
      <c r="C5" s="81" t="s">
        <v>20</v>
      </c>
      <c r="D5" s="82" t="s">
        <v>21</v>
      </c>
      <c r="E5" s="82">
        <v>9</v>
      </c>
      <c r="F5" s="82">
        <v>56</v>
      </c>
      <c r="G5" s="82" t="str">
        <f t="shared" si="1"/>
        <v>4</v>
      </c>
      <c r="H5" s="83">
        <v>46062</v>
      </c>
      <c r="I5" s="84">
        <v>3.14</v>
      </c>
      <c r="J5" s="84">
        <v>18.2</v>
      </c>
      <c r="K5" s="84"/>
      <c r="L5" s="85">
        <v>14.72</v>
      </c>
      <c r="M5" s="86">
        <f t="shared" si="0"/>
        <v>7.2128000000000005</v>
      </c>
      <c r="N5" s="84">
        <f t="shared" si="2"/>
        <v>11.035584000000002</v>
      </c>
      <c r="O5" s="85">
        <v>197.8</v>
      </c>
      <c r="P5" s="85">
        <v>200</v>
      </c>
      <c r="Q5" s="84">
        <f t="shared" si="3"/>
        <v>0.9890000000000001</v>
      </c>
      <c r="R5" t="e">
        <f t="shared" si="4"/>
        <v>#N/A</v>
      </c>
      <c r="S5">
        <v>16975</v>
      </c>
      <c r="U5" s="96" t="s">
        <v>26</v>
      </c>
      <c r="V5" s="96" t="s">
        <v>4</v>
      </c>
      <c r="W5" s="96" t="s">
        <v>27</v>
      </c>
      <c r="X5" s="96" t="s">
        <v>28</v>
      </c>
    </row>
    <row r="6" spans="1:24" ht="15" customHeight="1" x14ac:dyDescent="0.3">
      <c r="A6" s="81" t="s">
        <v>29</v>
      </c>
      <c r="B6" s="81" t="s">
        <v>19</v>
      </c>
      <c r="C6" s="81" t="s">
        <v>20</v>
      </c>
      <c r="D6" s="82" t="s">
        <v>21</v>
      </c>
      <c r="E6" s="82">
        <v>9</v>
      </c>
      <c r="F6" s="82">
        <v>56</v>
      </c>
      <c r="G6" s="82" t="str">
        <f t="shared" si="1"/>
        <v>5</v>
      </c>
      <c r="H6" s="83">
        <v>46069</v>
      </c>
      <c r="I6" s="84">
        <v>3.2</v>
      </c>
      <c r="J6" s="84">
        <v>20.100000000000001</v>
      </c>
      <c r="K6" s="84"/>
      <c r="L6" s="85">
        <v>10.72</v>
      </c>
      <c r="M6" s="86">
        <f t="shared" si="0"/>
        <v>5.2528000000000006</v>
      </c>
      <c r="N6" s="84">
        <f t="shared" si="2"/>
        <v>8.0367840000000008</v>
      </c>
      <c r="O6" s="85">
        <v>198.3</v>
      </c>
      <c r="P6" s="85">
        <v>200</v>
      </c>
      <c r="Q6" s="84">
        <f t="shared" si="3"/>
        <v>0.99150000000000005</v>
      </c>
      <c r="R6" t="e">
        <f t="shared" si="4"/>
        <v>#N/A</v>
      </c>
      <c r="S6">
        <v>14561</v>
      </c>
      <c r="U6" s="96" t="s">
        <v>30</v>
      </c>
      <c r="V6" s="96">
        <v>36</v>
      </c>
      <c r="W6" s="96" t="s">
        <v>31</v>
      </c>
      <c r="X6" s="112">
        <v>46090</v>
      </c>
    </row>
    <row r="7" spans="1:24" ht="15" customHeight="1" x14ac:dyDescent="0.3">
      <c r="A7" s="81" t="s">
        <v>32</v>
      </c>
      <c r="B7" s="81" t="s">
        <v>19</v>
      </c>
      <c r="C7" s="81" t="s">
        <v>20</v>
      </c>
      <c r="D7" s="82" t="s">
        <v>21</v>
      </c>
      <c r="E7" s="82">
        <v>9</v>
      </c>
      <c r="F7" s="82">
        <v>56</v>
      </c>
      <c r="G7" s="82" t="str">
        <f t="shared" si="1"/>
        <v>6</v>
      </c>
      <c r="H7" s="83">
        <v>46076</v>
      </c>
      <c r="I7" s="84">
        <v>3.37</v>
      </c>
      <c r="J7" s="84">
        <v>21.8</v>
      </c>
      <c r="K7" s="84"/>
      <c r="L7" s="85">
        <v>9.1</v>
      </c>
      <c r="M7" s="86">
        <f t="shared" si="0"/>
        <v>4.4589999999999996</v>
      </c>
      <c r="N7" s="84">
        <f t="shared" si="2"/>
        <v>6.8222699999999996</v>
      </c>
      <c r="O7" s="85">
        <v>186.4</v>
      </c>
      <c r="P7" s="85">
        <v>200</v>
      </c>
      <c r="Q7" s="84">
        <f t="shared" si="3"/>
        <v>0.93200000000000005</v>
      </c>
      <c r="R7" t="e">
        <f t="shared" si="4"/>
        <v>#N/A</v>
      </c>
      <c r="S7">
        <v>18284</v>
      </c>
      <c r="U7" s="96" t="s">
        <v>33</v>
      </c>
      <c r="V7" s="96">
        <v>2</v>
      </c>
      <c r="W7" s="96" t="s">
        <v>31</v>
      </c>
      <c r="X7" s="112">
        <v>46128</v>
      </c>
    </row>
    <row r="8" spans="1:24" ht="15" customHeight="1" x14ac:dyDescent="0.3">
      <c r="A8" s="81" t="s">
        <v>34</v>
      </c>
      <c r="B8" s="81" t="s">
        <v>19</v>
      </c>
      <c r="C8" s="81" t="s">
        <v>20</v>
      </c>
      <c r="D8" s="82" t="s">
        <v>21</v>
      </c>
      <c r="E8" s="82">
        <v>9</v>
      </c>
      <c r="F8" s="82">
        <v>56</v>
      </c>
      <c r="G8" s="82" t="str">
        <f t="shared" si="1"/>
        <v>7</v>
      </c>
      <c r="H8" s="83">
        <v>46083</v>
      </c>
      <c r="I8" s="84">
        <v>3.4</v>
      </c>
      <c r="J8" s="84">
        <v>23</v>
      </c>
      <c r="K8" s="84"/>
      <c r="L8" s="85">
        <v>9.17</v>
      </c>
      <c r="M8" s="86">
        <f t="shared" si="0"/>
        <v>4.4932999999999996</v>
      </c>
      <c r="N8" s="84">
        <f t="shared" si="2"/>
        <v>6.8747489999999996</v>
      </c>
      <c r="O8" s="85">
        <v>189.7</v>
      </c>
      <c r="P8" s="85">
        <v>200</v>
      </c>
      <c r="Q8" s="84">
        <f t="shared" si="3"/>
        <v>0.9484999999999999</v>
      </c>
      <c r="R8" t="e">
        <f t="shared" si="4"/>
        <v>#N/A</v>
      </c>
      <c r="S8">
        <v>16273</v>
      </c>
      <c r="U8" s="96" t="s">
        <v>35</v>
      </c>
      <c r="V8" s="96">
        <v>13</v>
      </c>
      <c r="W8" s="96" t="s">
        <v>36</v>
      </c>
      <c r="X8" s="112">
        <v>46125</v>
      </c>
    </row>
    <row r="9" spans="1:24" ht="15" customHeight="1" x14ac:dyDescent="0.3">
      <c r="A9" s="81" t="s">
        <v>37</v>
      </c>
      <c r="B9" s="81" t="s">
        <v>19</v>
      </c>
      <c r="C9" s="81" t="s">
        <v>20</v>
      </c>
      <c r="D9" s="82" t="s">
        <v>21</v>
      </c>
      <c r="E9" s="82">
        <v>9</v>
      </c>
      <c r="F9" s="82">
        <v>56</v>
      </c>
      <c r="G9" s="82" t="str">
        <f t="shared" si="1"/>
        <v>8</v>
      </c>
      <c r="H9" s="83">
        <v>46090</v>
      </c>
      <c r="I9" s="84">
        <v>3.48</v>
      </c>
      <c r="J9" s="84">
        <v>24</v>
      </c>
      <c r="K9" s="84"/>
      <c r="L9" s="85">
        <v>8.75</v>
      </c>
      <c r="M9" s="86">
        <f t="shared" si="0"/>
        <v>4.2874999999999996</v>
      </c>
      <c r="N9" s="84">
        <f t="shared" si="2"/>
        <v>6.5598749999999999</v>
      </c>
      <c r="O9" s="85">
        <v>191.4</v>
      </c>
      <c r="P9" s="85">
        <v>200</v>
      </c>
      <c r="Q9" s="84">
        <f t="shared" si="3"/>
        <v>0.95700000000000007</v>
      </c>
      <c r="R9" t="e">
        <f t="shared" si="4"/>
        <v>#N/A</v>
      </c>
      <c r="S9">
        <v>15455</v>
      </c>
      <c r="U9" s="97" t="s">
        <v>38</v>
      </c>
      <c r="V9" s="97">
        <v>3</v>
      </c>
      <c r="W9" s="97" t="s">
        <v>31</v>
      </c>
      <c r="X9" s="112">
        <v>46095</v>
      </c>
    </row>
    <row r="10" spans="1:24" ht="15" customHeight="1" x14ac:dyDescent="0.3">
      <c r="A10" s="81" t="s">
        <v>39</v>
      </c>
      <c r="B10" s="81" t="s">
        <v>19</v>
      </c>
      <c r="C10" s="81" t="s">
        <v>20</v>
      </c>
      <c r="D10" s="82" t="s">
        <v>21</v>
      </c>
      <c r="E10" s="82">
        <v>9</v>
      </c>
      <c r="F10" s="82">
        <v>56</v>
      </c>
      <c r="G10" s="82" t="str">
        <f t="shared" si="1"/>
        <v>9</v>
      </c>
      <c r="H10" s="83">
        <v>46097</v>
      </c>
      <c r="I10" s="84">
        <v>3.45</v>
      </c>
      <c r="J10" s="84">
        <v>24.4</v>
      </c>
      <c r="K10" s="84"/>
      <c r="L10" s="85">
        <v>7.6</v>
      </c>
      <c r="M10" s="86">
        <f t="shared" si="0"/>
        <v>3.7239999999999998</v>
      </c>
      <c r="N10" s="84">
        <f t="shared" si="2"/>
        <v>5.6977199999999995</v>
      </c>
      <c r="O10" s="85">
        <v>191.3</v>
      </c>
      <c r="P10" s="85">
        <v>200</v>
      </c>
      <c r="Q10" s="84">
        <f t="shared" si="3"/>
        <v>0.95650000000000002</v>
      </c>
      <c r="R10" t="e">
        <f t="shared" si="4"/>
        <v>#N/A</v>
      </c>
      <c r="S10">
        <v>13736</v>
      </c>
      <c r="U10" s="96" t="s">
        <v>40</v>
      </c>
      <c r="V10" s="96">
        <v>207</v>
      </c>
      <c r="W10" s="96" t="s">
        <v>31</v>
      </c>
      <c r="X10" s="112">
        <v>46118</v>
      </c>
    </row>
    <row r="11" spans="1:24" ht="15" customHeight="1" x14ac:dyDescent="0.3">
      <c r="A11" s="81" t="s">
        <v>41</v>
      </c>
      <c r="B11" s="81" t="s">
        <v>19</v>
      </c>
      <c r="C11" s="81" t="s">
        <v>20</v>
      </c>
      <c r="D11" s="82" t="s">
        <v>21</v>
      </c>
      <c r="E11" s="82">
        <v>9</v>
      </c>
      <c r="F11" s="82">
        <v>56</v>
      </c>
      <c r="G11" s="82" t="str">
        <f>RIGHT(A11,2)</f>
        <v>10</v>
      </c>
      <c r="H11" s="83">
        <v>46104</v>
      </c>
      <c r="I11" s="84">
        <v>3.49</v>
      </c>
      <c r="J11" s="84">
        <v>24.8</v>
      </c>
      <c r="K11" s="84"/>
      <c r="L11" s="85">
        <v>7.23</v>
      </c>
      <c r="M11" s="86">
        <f t="shared" si="0"/>
        <v>3.5427</v>
      </c>
      <c r="N11" s="84">
        <f t="shared" si="2"/>
        <v>5.420331</v>
      </c>
      <c r="O11" s="85">
        <v>198.3</v>
      </c>
      <c r="P11" s="85">
        <v>200</v>
      </c>
      <c r="Q11" s="84">
        <f t="shared" si="3"/>
        <v>0.99150000000000005</v>
      </c>
      <c r="R11" t="e">
        <f t="shared" si="4"/>
        <v>#N/A</v>
      </c>
      <c r="S11">
        <v>11842</v>
      </c>
      <c r="U11" s="96" t="s">
        <v>40</v>
      </c>
      <c r="V11" s="96">
        <v>171</v>
      </c>
      <c r="W11" s="96" t="s">
        <v>36</v>
      </c>
      <c r="X11" s="112">
        <v>46119</v>
      </c>
    </row>
    <row r="12" spans="1:24" ht="15" customHeight="1" x14ac:dyDescent="0.3">
      <c r="A12" s="81" t="s">
        <v>42</v>
      </c>
      <c r="B12" s="81" t="s">
        <v>19</v>
      </c>
      <c r="C12" s="81" t="s">
        <v>20</v>
      </c>
      <c r="D12" s="82" t="s">
        <v>21</v>
      </c>
      <c r="E12" s="82">
        <v>9</v>
      </c>
      <c r="F12" s="82">
        <v>56</v>
      </c>
      <c r="G12" s="82" t="str">
        <f>RIGHT(A12,2)</f>
        <v>11</v>
      </c>
      <c r="H12" s="83">
        <v>46111</v>
      </c>
      <c r="I12" s="84">
        <v>3.49</v>
      </c>
      <c r="J12" s="84">
        <v>25</v>
      </c>
      <c r="K12" s="84"/>
      <c r="L12" s="85">
        <v>7.03</v>
      </c>
      <c r="M12" s="86">
        <f t="shared" ref="M12" si="5">L12*0.49</f>
        <v>3.4447000000000001</v>
      </c>
      <c r="N12" s="84">
        <f t="shared" ref="N12" si="6">M12*1.53</f>
        <v>5.270391</v>
      </c>
      <c r="O12" s="85">
        <v>182.8</v>
      </c>
      <c r="P12" s="85">
        <v>200</v>
      </c>
      <c r="Q12" s="84">
        <f t="shared" si="3"/>
        <v>0.91400000000000003</v>
      </c>
      <c r="R12" t="e">
        <f t="shared" si="4"/>
        <v>#N/A</v>
      </c>
      <c r="S12">
        <v>11974</v>
      </c>
      <c r="U12" s="96" t="s">
        <v>43</v>
      </c>
      <c r="V12" s="96">
        <v>93</v>
      </c>
      <c r="W12" s="96" t="s">
        <v>36</v>
      </c>
      <c r="X12" s="112">
        <v>46140</v>
      </c>
    </row>
    <row r="13" spans="1:24" ht="15" customHeight="1" x14ac:dyDescent="0.3">
      <c r="A13" s="81" t="s">
        <v>44</v>
      </c>
      <c r="B13" s="81" t="s">
        <v>19</v>
      </c>
      <c r="C13" s="81" t="s">
        <v>20</v>
      </c>
      <c r="D13" s="82" t="s">
        <v>21</v>
      </c>
      <c r="E13" s="82">
        <v>9</v>
      </c>
      <c r="F13" s="82">
        <v>56</v>
      </c>
      <c r="G13" s="82" t="str">
        <f>RIGHT(A13,2)</f>
        <v>12</v>
      </c>
      <c r="H13" s="83">
        <v>46118</v>
      </c>
      <c r="I13" s="84">
        <v>3.56</v>
      </c>
      <c r="J13" s="84">
        <v>26.5</v>
      </c>
      <c r="K13" s="84"/>
      <c r="L13" s="85">
        <v>6.5</v>
      </c>
      <c r="M13" s="86">
        <f t="shared" ref="M13" si="7">L13*0.49</f>
        <v>3.1850000000000001</v>
      </c>
      <c r="N13" s="84">
        <f t="shared" ref="N13" si="8">M13*1.53</f>
        <v>4.8730500000000001</v>
      </c>
      <c r="O13" s="85">
        <v>186.2</v>
      </c>
      <c r="P13" s="85">
        <v>200</v>
      </c>
      <c r="Q13" s="84">
        <f t="shared" si="3"/>
        <v>0.93099999999999994</v>
      </c>
      <c r="R13" t="e">
        <f t="shared" si="4"/>
        <v>#N/A</v>
      </c>
      <c r="S13">
        <v>16500</v>
      </c>
      <c r="U13" s="96" t="s">
        <v>45</v>
      </c>
      <c r="V13" s="96">
        <v>1</v>
      </c>
      <c r="W13" s="96" t="s">
        <v>36</v>
      </c>
      <c r="X13" s="112">
        <v>46132</v>
      </c>
    </row>
    <row r="14" spans="1:24" ht="15" customHeight="1" x14ac:dyDescent="0.3">
      <c r="A14" s="81" t="s">
        <v>46</v>
      </c>
      <c r="B14" s="81" t="s">
        <v>19</v>
      </c>
      <c r="C14" s="81" t="s">
        <v>20</v>
      </c>
      <c r="D14" s="82" t="s">
        <v>21</v>
      </c>
      <c r="E14" s="82">
        <v>9</v>
      </c>
      <c r="F14" s="82">
        <v>56</v>
      </c>
      <c r="G14" s="82" t="str">
        <f>RIGHT(A14,2)</f>
        <v>13</v>
      </c>
      <c r="H14" s="83">
        <v>46125</v>
      </c>
      <c r="I14" s="84">
        <v>3.53</v>
      </c>
      <c r="J14" s="84">
        <v>26.1</v>
      </c>
      <c r="K14" s="84"/>
      <c r="L14" s="85">
        <v>7.64</v>
      </c>
      <c r="M14" s="86">
        <f t="shared" ref="M14:M15" si="9">L14*0.49</f>
        <v>3.7435999999999998</v>
      </c>
      <c r="N14" s="84">
        <f t="shared" ref="N14:N15" si="10">M14*1.53</f>
        <v>5.7277079999999998</v>
      </c>
      <c r="O14" s="85">
        <v>192.9</v>
      </c>
      <c r="P14" s="85">
        <v>200</v>
      </c>
      <c r="Q14" s="84">
        <f t="shared" si="3"/>
        <v>0.96450000000000002</v>
      </c>
      <c r="R14" t="e">
        <f t="shared" si="4"/>
        <v>#N/A</v>
      </c>
      <c r="S14">
        <v>17339</v>
      </c>
      <c r="U14" s="96" t="s">
        <v>47</v>
      </c>
      <c r="V14" s="96">
        <v>9</v>
      </c>
      <c r="W14" s="96" t="s">
        <v>31</v>
      </c>
      <c r="X14" s="112"/>
    </row>
    <row r="15" spans="1:24" ht="15" customHeight="1" x14ac:dyDescent="0.3">
      <c r="A15" s="81" t="s">
        <v>48</v>
      </c>
      <c r="B15" s="81" t="s">
        <v>19</v>
      </c>
      <c r="C15" s="81" t="s">
        <v>20</v>
      </c>
      <c r="D15" s="82" t="s">
        <v>21</v>
      </c>
      <c r="E15" s="82">
        <v>9</v>
      </c>
      <c r="F15" s="82">
        <v>56</v>
      </c>
      <c r="G15" s="82">
        <v>14</v>
      </c>
      <c r="H15" s="83">
        <v>46133</v>
      </c>
      <c r="I15" s="84">
        <v>4.0599999999999996</v>
      </c>
      <c r="J15" s="84">
        <v>25.6</v>
      </c>
      <c r="K15" s="84"/>
      <c r="L15" s="85">
        <v>4.37</v>
      </c>
      <c r="M15" s="86">
        <f t="shared" si="9"/>
        <v>2.1413000000000002</v>
      </c>
      <c r="N15" s="84">
        <f t="shared" si="10"/>
        <v>3.2761890000000005</v>
      </c>
      <c r="O15" s="85">
        <v>214</v>
      </c>
      <c r="P15" s="85">
        <v>200</v>
      </c>
      <c r="Q15" s="84">
        <f t="shared" si="3"/>
        <v>1.07</v>
      </c>
      <c r="R15" t="e">
        <f t="shared" si="4"/>
        <v>#N/A</v>
      </c>
      <c r="S15">
        <v>15944</v>
      </c>
      <c r="U15" s="97" t="s">
        <v>49</v>
      </c>
      <c r="V15" s="97">
        <v>42</v>
      </c>
      <c r="W15" s="97" t="s">
        <v>36</v>
      </c>
      <c r="X15" s="112">
        <v>46140</v>
      </c>
    </row>
    <row r="16" spans="1:24" ht="15" customHeight="1" x14ac:dyDescent="0.3">
      <c r="A16" s="81" t="s">
        <v>50</v>
      </c>
      <c r="B16" s="81" t="s">
        <v>51</v>
      </c>
      <c r="C16" s="81" t="s">
        <v>20</v>
      </c>
      <c r="D16" s="82" t="s">
        <v>52</v>
      </c>
      <c r="E16" s="82">
        <v>1</v>
      </c>
      <c r="F16" s="82" t="s">
        <v>53</v>
      </c>
      <c r="G16" s="82" t="str">
        <f t="shared" si="1"/>
        <v>1</v>
      </c>
      <c r="H16" s="83">
        <v>46042</v>
      </c>
      <c r="I16" s="84">
        <v>2.86</v>
      </c>
      <c r="J16" s="84">
        <v>14.4</v>
      </c>
      <c r="K16" s="84"/>
      <c r="L16" s="85">
        <v>23.86</v>
      </c>
      <c r="M16" s="86">
        <f t="shared" si="0"/>
        <v>11.6914</v>
      </c>
      <c r="N16" s="84">
        <f t="shared" si="2"/>
        <v>17.887841999999999</v>
      </c>
      <c r="O16" s="85">
        <v>198.13</v>
      </c>
      <c r="P16" s="85">
        <v>200</v>
      </c>
      <c r="Q16" s="84">
        <f>O16/P16</f>
        <v>0.99065000000000003</v>
      </c>
      <c r="R16" t="e">
        <f t="shared" si="4"/>
        <v>#N/A</v>
      </c>
      <c r="S16">
        <v>15278</v>
      </c>
      <c r="U16" s="97" t="s">
        <v>54</v>
      </c>
      <c r="V16" s="97">
        <v>40</v>
      </c>
      <c r="W16" s="97" t="s">
        <v>31</v>
      </c>
      <c r="X16" s="112"/>
    </row>
    <row r="17" spans="1:24" ht="15" customHeight="1" x14ac:dyDescent="0.3">
      <c r="A17" s="81" t="s">
        <v>55</v>
      </c>
      <c r="B17" s="81" t="s">
        <v>51</v>
      </c>
      <c r="C17" s="81" t="s">
        <v>20</v>
      </c>
      <c r="D17" s="82" t="s">
        <v>52</v>
      </c>
      <c r="E17" s="82">
        <v>1</v>
      </c>
      <c r="F17" s="82" t="s">
        <v>53</v>
      </c>
      <c r="G17" s="82" t="str">
        <f t="shared" si="1"/>
        <v>2</v>
      </c>
      <c r="H17" s="83">
        <v>46048</v>
      </c>
      <c r="I17" s="84">
        <v>3.05</v>
      </c>
      <c r="J17" s="84">
        <v>15.2</v>
      </c>
      <c r="K17" s="84"/>
      <c r="L17" s="85">
        <v>17.46</v>
      </c>
      <c r="M17" s="86">
        <f t="shared" si="0"/>
        <v>8.5554000000000006</v>
      </c>
      <c r="N17" s="84">
        <f t="shared" si="2"/>
        <v>13.089762</v>
      </c>
      <c r="O17" s="85">
        <v>213.59</v>
      </c>
      <c r="P17" s="85">
        <v>200</v>
      </c>
      <c r="Q17" s="84">
        <f t="shared" ref="Q17:Q95" si="11">O17/P17</f>
        <v>1.06795</v>
      </c>
      <c r="R17" t="e">
        <f t="shared" si="4"/>
        <v>#N/A</v>
      </c>
      <c r="S17">
        <v>11822</v>
      </c>
      <c r="U17" s="96" t="s">
        <v>56</v>
      </c>
      <c r="V17" s="96">
        <v>24</v>
      </c>
      <c r="W17" s="96" t="s">
        <v>36</v>
      </c>
      <c r="X17" s="112"/>
    </row>
    <row r="18" spans="1:24" ht="15" customHeight="1" x14ac:dyDescent="0.3">
      <c r="A18" s="81" t="s">
        <v>57</v>
      </c>
      <c r="B18" s="81" t="s">
        <v>51</v>
      </c>
      <c r="C18" s="81" t="s">
        <v>20</v>
      </c>
      <c r="D18" s="82" t="s">
        <v>52</v>
      </c>
      <c r="E18" s="82">
        <v>1</v>
      </c>
      <c r="F18" s="82" t="s">
        <v>53</v>
      </c>
      <c r="G18" s="82" t="str">
        <f t="shared" si="1"/>
        <v>3</v>
      </c>
      <c r="H18" s="83">
        <v>46055</v>
      </c>
      <c r="I18" s="84">
        <v>3.07</v>
      </c>
      <c r="J18" s="84">
        <v>16.8</v>
      </c>
      <c r="K18" s="84"/>
      <c r="L18" s="85">
        <v>13.44</v>
      </c>
      <c r="M18" s="86">
        <f t="shared" si="0"/>
        <v>6.5855999999999995</v>
      </c>
      <c r="N18" s="84">
        <f>M18*1.53</f>
        <v>10.075968</v>
      </c>
      <c r="O18" s="85">
        <v>236.44</v>
      </c>
      <c r="P18" s="85">
        <v>200</v>
      </c>
      <c r="Q18" s="84">
        <f t="shared" si="11"/>
        <v>1.1821999999999999</v>
      </c>
      <c r="R18" t="e">
        <f t="shared" si="4"/>
        <v>#N/A</v>
      </c>
      <c r="S18">
        <v>16889</v>
      </c>
      <c r="X18" s="107"/>
    </row>
    <row r="19" spans="1:24" ht="15" customHeight="1" x14ac:dyDescent="0.3">
      <c r="A19" s="81" t="s">
        <v>58</v>
      </c>
      <c r="B19" s="81" t="s">
        <v>51</v>
      </c>
      <c r="C19" s="81" t="s">
        <v>20</v>
      </c>
      <c r="D19" s="82" t="s">
        <v>52</v>
      </c>
      <c r="E19" s="82">
        <v>1</v>
      </c>
      <c r="F19" s="82" t="s">
        <v>53</v>
      </c>
      <c r="G19" s="82" t="str">
        <f t="shared" si="1"/>
        <v>4</v>
      </c>
      <c r="H19" s="83">
        <v>46062</v>
      </c>
      <c r="I19" s="84">
        <v>3.27</v>
      </c>
      <c r="J19" s="84">
        <v>18</v>
      </c>
      <c r="K19" s="84"/>
      <c r="L19" s="85">
        <v>9.94</v>
      </c>
      <c r="M19" s="86">
        <f t="shared" si="0"/>
        <v>4.8705999999999996</v>
      </c>
      <c r="N19" s="84">
        <f t="shared" si="2"/>
        <v>7.4520179999999998</v>
      </c>
      <c r="O19" s="85">
        <v>243.3</v>
      </c>
      <c r="P19" s="85">
        <v>200</v>
      </c>
      <c r="Q19" s="84">
        <f t="shared" si="11"/>
        <v>1.2165000000000001</v>
      </c>
      <c r="R19" t="e">
        <f t="shared" si="4"/>
        <v>#N/A</v>
      </c>
      <c r="S19">
        <v>8690</v>
      </c>
    </row>
    <row r="20" spans="1:24" ht="15" customHeight="1" x14ac:dyDescent="0.3">
      <c r="A20" s="81" t="s">
        <v>59</v>
      </c>
      <c r="B20" s="81" t="s">
        <v>51</v>
      </c>
      <c r="C20" s="81" t="s">
        <v>20</v>
      </c>
      <c r="D20" s="82" t="s">
        <v>52</v>
      </c>
      <c r="E20" s="82">
        <v>1</v>
      </c>
      <c r="F20" s="82" t="s">
        <v>53</v>
      </c>
      <c r="G20" s="82" t="str">
        <f t="shared" si="1"/>
        <v>5</v>
      </c>
      <c r="H20" s="83">
        <v>46069</v>
      </c>
      <c r="I20" s="84">
        <v>3.31</v>
      </c>
      <c r="J20" s="84">
        <v>20.399999999999999</v>
      </c>
      <c r="K20" s="84"/>
      <c r="L20" s="85">
        <v>8.92</v>
      </c>
      <c r="M20" s="86">
        <f t="shared" si="0"/>
        <v>4.3708</v>
      </c>
      <c r="N20" s="84">
        <f t="shared" si="2"/>
        <v>6.6873240000000003</v>
      </c>
      <c r="O20" s="85">
        <v>240.6</v>
      </c>
      <c r="P20" s="85">
        <v>200</v>
      </c>
      <c r="Q20" s="84">
        <f t="shared" si="11"/>
        <v>1.2030000000000001</v>
      </c>
      <c r="R20" t="e">
        <f t="shared" si="4"/>
        <v>#N/A</v>
      </c>
      <c r="S20">
        <v>8470</v>
      </c>
      <c r="U20" t="s">
        <v>60</v>
      </c>
    </row>
    <row r="21" spans="1:24" ht="15" customHeight="1" x14ac:dyDescent="0.3">
      <c r="A21" s="81" t="s">
        <v>61</v>
      </c>
      <c r="B21" s="81" t="s">
        <v>51</v>
      </c>
      <c r="C21" s="81" t="s">
        <v>20</v>
      </c>
      <c r="D21" s="82" t="s">
        <v>52</v>
      </c>
      <c r="E21" s="82">
        <v>1</v>
      </c>
      <c r="F21" s="82" t="s">
        <v>53</v>
      </c>
      <c r="G21" s="82" t="str">
        <f t="shared" si="1"/>
        <v>6</v>
      </c>
      <c r="H21" s="83">
        <v>46076</v>
      </c>
      <c r="I21" s="84">
        <v>3.45</v>
      </c>
      <c r="J21" s="84">
        <v>21.4</v>
      </c>
      <c r="K21" s="84"/>
      <c r="L21" s="85">
        <v>6.9</v>
      </c>
      <c r="M21" s="86">
        <f t="shared" si="0"/>
        <v>3.3810000000000002</v>
      </c>
      <c r="N21" s="84">
        <f t="shared" si="2"/>
        <v>5.17293</v>
      </c>
      <c r="O21" s="85">
        <v>238.3</v>
      </c>
      <c r="P21" s="85">
        <v>200</v>
      </c>
      <c r="Q21" s="84">
        <f t="shared" si="11"/>
        <v>1.1915</v>
      </c>
      <c r="R21" t="e">
        <f t="shared" si="4"/>
        <v>#N/A</v>
      </c>
      <c r="S21">
        <v>10567</v>
      </c>
    </row>
    <row r="22" spans="1:24" ht="15" customHeight="1" x14ac:dyDescent="0.3">
      <c r="A22" s="81" t="s">
        <v>62</v>
      </c>
      <c r="B22" s="81" t="s">
        <v>51</v>
      </c>
      <c r="C22" s="81" t="s">
        <v>20</v>
      </c>
      <c r="D22" s="82" t="s">
        <v>52</v>
      </c>
      <c r="E22" s="82">
        <v>1</v>
      </c>
      <c r="F22" s="82" t="s">
        <v>53</v>
      </c>
      <c r="G22" s="82" t="str">
        <f t="shared" si="1"/>
        <v>7</v>
      </c>
      <c r="H22" s="83">
        <v>46083</v>
      </c>
      <c r="I22" s="84">
        <v>3.5</v>
      </c>
      <c r="J22" s="84">
        <v>22.2</v>
      </c>
      <c r="K22" s="84"/>
      <c r="L22" s="85">
        <v>6.45</v>
      </c>
      <c r="M22" s="86">
        <f t="shared" si="0"/>
        <v>3.1604999999999999</v>
      </c>
      <c r="N22" s="84">
        <f t="shared" si="2"/>
        <v>4.8355649999999999</v>
      </c>
      <c r="O22" s="85">
        <v>225.8</v>
      </c>
      <c r="P22" s="85">
        <v>200</v>
      </c>
      <c r="Q22" s="84">
        <f t="shared" si="11"/>
        <v>1.129</v>
      </c>
      <c r="R22" t="e">
        <f t="shared" si="4"/>
        <v>#N/A</v>
      </c>
      <c r="S22">
        <v>11354</v>
      </c>
      <c r="U22" s="96" t="s">
        <v>26</v>
      </c>
      <c r="V22" s="96" t="s">
        <v>4</v>
      </c>
      <c r="W22" s="96" t="s">
        <v>27</v>
      </c>
      <c r="X22" s="96" t="s">
        <v>28</v>
      </c>
    </row>
    <row r="23" spans="1:24" ht="15" customHeight="1" x14ac:dyDescent="0.3">
      <c r="A23" s="81" t="s">
        <v>63</v>
      </c>
      <c r="B23" s="81" t="s">
        <v>51</v>
      </c>
      <c r="C23" s="81" t="s">
        <v>20</v>
      </c>
      <c r="D23" s="82" t="s">
        <v>52</v>
      </c>
      <c r="E23" s="82">
        <v>1</v>
      </c>
      <c r="F23" s="82" t="s">
        <v>53</v>
      </c>
      <c r="G23" s="82" t="str">
        <f t="shared" si="1"/>
        <v>8</v>
      </c>
      <c r="H23" s="83">
        <v>46090</v>
      </c>
      <c r="I23" s="84">
        <v>3.56</v>
      </c>
      <c r="J23" s="84">
        <v>23</v>
      </c>
      <c r="K23" s="84"/>
      <c r="L23" s="85">
        <v>5.76</v>
      </c>
      <c r="M23" s="86">
        <f t="shared" si="0"/>
        <v>2.8224</v>
      </c>
      <c r="N23" s="84">
        <f t="shared" si="2"/>
        <v>4.3182720000000003</v>
      </c>
      <c r="O23" s="85">
        <v>259.89999999999998</v>
      </c>
      <c r="P23" s="85">
        <v>200</v>
      </c>
      <c r="Q23" s="84">
        <f t="shared" si="11"/>
        <v>1.2994999999999999</v>
      </c>
      <c r="R23" t="e">
        <f t="shared" si="4"/>
        <v>#N/A</v>
      </c>
      <c r="S23">
        <v>11822</v>
      </c>
      <c r="U23" s="108" t="s">
        <v>30</v>
      </c>
      <c r="V23" s="108">
        <v>36</v>
      </c>
      <c r="W23" s="108" t="s">
        <v>31</v>
      </c>
      <c r="X23" s="114">
        <v>46085</v>
      </c>
    </row>
    <row r="24" spans="1:24" ht="15" customHeight="1" x14ac:dyDescent="0.3">
      <c r="A24" s="81" t="s">
        <v>64</v>
      </c>
      <c r="B24" s="81" t="s">
        <v>51</v>
      </c>
      <c r="C24" s="81" t="s">
        <v>20</v>
      </c>
      <c r="D24" s="82" t="s">
        <v>52</v>
      </c>
      <c r="E24" s="82">
        <v>1</v>
      </c>
      <c r="F24" s="82" t="s">
        <v>53</v>
      </c>
      <c r="G24" s="82" t="str">
        <f t="shared" si="1"/>
        <v>9</v>
      </c>
      <c r="H24" s="83">
        <v>46097</v>
      </c>
      <c r="I24" s="84">
        <v>3.63</v>
      </c>
      <c r="J24" s="84">
        <v>23.5</v>
      </c>
      <c r="K24" s="84"/>
      <c r="L24" s="85">
        <v>5.09</v>
      </c>
      <c r="M24" s="86">
        <f t="shared" si="0"/>
        <v>2.4941</v>
      </c>
      <c r="N24" s="84">
        <f t="shared" si="2"/>
        <v>3.8159730000000001</v>
      </c>
      <c r="O24" s="85">
        <v>273.89999999999998</v>
      </c>
      <c r="P24" s="85">
        <v>200</v>
      </c>
      <c r="Q24" s="84">
        <f t="shared" si="11"/>
        <v>1.3694999999999999</v>
      </c>
      <c r="R24" t="e">
        <f t="shared" si="4"/>
        <v>#N/A</v>
      </c>
      <c r="S24">
        <v>12696</v>
      </c>
      <c r="U24" s="108"/>
      <c r="V24" s="108"/>
      <c r="W24" s="108"/>
      <c r="X24" s="114">
        <v>46099</v>
      </c>
    </row>
    <row r="25" spans="1:24" ht="15" customHeight="1" x14ac:dyDescent="0.3">
      <c r="A25" s="81" t="s">
        <v>65</v>
      </c>
      <c r="B25" s="81" t="s">
        <v>51</v>
      </c>
      <c r="C25" s="81" t="s">
        <v>20</v>
      </c>
      <c r="D25" s="82" t="s">
        <v>52</v>
      </c>
      <c r="E25" s="82">
        <v>1</v>
      </c>
      <c r="F25" s="82" t="s">
        <v>53</v>
      </c>
      <c r="G25" s="82">
        <v>10</v>
      </c>
      <c r="H25" s="83">
        <v>46104</v>
      </c>
      <c r="I25" s="84">
        <v>3.67</v>
      </c>
      <c r="J25" s="84">
        <v>23.4</v>
      </c>
      <c r="K25" s="84"/>
      <c r="L25" s="85">
        <v>5.04</v>
      </c>
      <c r="M25" s="86">
        <f t="shared" si="0"/>
        <v>2.4695999999999998</v>
      </c>
      <c r="N25" s="84">
        <f t="shared" si="2"/>
        <v>3.7784879999999998</v>
      </c>
      <c r="O25" s="85">
        <v>258.7</v>
      </c>
      <c r="P25" s="85">
        <v>200</v>
      </c>
      <c r="Q25" s="84">
        <f t="shared" si="11"/>
        <v>1.2934999999999999</v>
      </c>
      <c r="R25" t="e">
        <f t="shared" si="4"/>
        <v>#N/A</v>
      </c>
      <c r="S25">
        <v>8614</v>
      </c>
      <c r="U25" s="108"/>
      <c r="V25" s="108"/>
      <c r="W25" s="108"/>
      <c r="X25" s="114">
        <v>46106</v>
      </c>
    </row>
    <row r="26" spans="1:24" ht="15" customHeight="1" x14ac:dyDescent="0.3">
      <c r="A26" s="81" t="s">
        <v>66</v>
      </c>
      <c r="B26" s="81" t="s">
        <v>51</v>
      </c>
      <c r="C26" s="81" t="s">
        <v>20</v>
      </c>
      <c r="D26" s="82" t="s">
        <v>52</v>
      </c>
      <c r="E26" s="82">
        <v>1</v>
      </c>
      <c r="F26" s="82" t="s">
        <v>53</v>
      </c>
      <c r="G26" s="82">
        <v>11</v>
      </c>
      <c r="H26" s="83">
        <v>46111</v>
      </c>
      <c r="I26" s="84">
        <v>3.75</v>
      </c>
      <c r="J26" s="84">
        <v>23.4</v>
      </c>
      <c r="K26" s="86"/>
      <c r="L26" s="98">
        <v>4.5999999999999996</v>
      </c>
      <c r="M26" s="86">
        <f t="shared" ref="M26" si="12">L26*0.49</f>
        <v>2.254</v>
      </c>
      <c r="N26" s="84">
        <f t="shared" ref="N26" si="13">M26*1.53</f>
        <v>3.44862</v>
      </c>
      <c r="O26" s="98">
        <v>267.7</v>
      </c>
      <c r="P26" s="85">
        <v>200</v>
      </c>
      <c r="Q26" s="84">
        <f t="shared" si="11"/>
        <v>1.3385</v>
      </c>
      <c r="R26" t="e">
        <f t="shared" si="4"/>
        <v>#N/A</v>
      </c>
      <c r="S26">
        <v>16583</v>
      </c>
      <c r="U26" s="108"/>
      <c r="V26" s="108"/>
      <c r="W26" s="108"/>
      <c r="X26" s="114">
        <v>46112</v>
      </c>
    </row>
    <row r="27" spans="1:24" ht="15" customHeight="1" x14ac:dyDescent="0.3">
      <c r="A27" s="81" t="s">
        <v>67</v>
      </c>
      <c r="B27" s="81" t="s">
        <v>51</v>
      </c>
      <c r="C27" s="81" t="s">
        <v>20</v>
      </c>
      <c r="D27" s="82" t="s">
        <v>52</v>
      </c>
      <c r="E27" s="82">
        <v>1</v>
      </c>
      <c r="F27" s="82" t="s">
        <v>53</v>
      </c>
      <c r="G27" s="82">
        <v>12</v>
      </c>
      <c r="H27" s="83">
        <v>46118</v>
      </c>
      <c r="I27" s="84">
        <v>3.8</v>
      </c>
      <c r="J27" s="84">
        <v>24.8</v>
      </c>
      <c r="K27" s="86"/>
      <c r="L27" s="98">
        <v>4.51</v>
      </c>
      <c r="M27" s="86">
        <f t="shared" ref="M27" si="14">L27*0.49</f>
        <v>2.2098999999999998</v>
      </c>
      <c r="N27" s="84">
        <f t="shared" ref="N27" si="15">M27*1.53</f>
        <v>3.3811469999999999</v>
      </c>
      <c r="O27" s="98">
        <v>241.4</v>
      </c>
      <c r="P27" s="85">
        <v>200</v>
      </c>
      <c r="Q27" s="84">
        <f t="shared" si="11"/>
        <v>1.2070000000000001</v>
      </c>
      <c r="R27" t="e">
        <f t="shared" si="4"/>
        <v>#N/A</v>
      </c>
      <c r="S27">
        <v>15409</v>
      </c>
      <c r="U27" s="108"/>
      <c r="V27" s="108"/>
      <c r="W27" s="108"/>
      <c r="X27" s="114">
        <v>46119</v>
      </c>
    </row>
    <row r="28" spans="1:24" ht="15" customHeight="1" x14ac:dyDescent="0.3">
      <c r="A28" s="81" t="s">
        <v>68</v>
      </c>
      <c r="B28" s="81" t="s">
        <v>51</v>
      </c>
      <c r="C28" s="81" t="s">
        <v>20</v>
      </c>
      <c r="D28" s="82" t="s">
        <v>52</v>
      </c>
      <c r="E28" s="82">
        <v>1</v>
      </c>
      <c r="F28" s="82" t="s">
        <v>53</v>
      </c>
      <c r="G28" s="82">
        <v>13</v>
      </c>
      <c r="H28" s="83">
        <v>46125</v>
      </c>
      <c r="I28" s="84">
        <v>3.66</v>
      </c>
      <c r="J28" s="84">
        <v>24</v>
      </c>
      <c r="K28" s="86"/>
      <c r="L28" s="98">
        <v>4.8499999999999996</v>
      </c>
      <c r="M28" s="86">
        <f t="shared" ref="M28:M29" si="16">L28*0.49</f>
        <v>2.3764999999999996</v>
      </c>
      <c r="N28" s="84">
        <f t="shared" ref="N28:N29" si="17">M28*1.53</f>
        <v>3.6360449999999993</v>
      </c>
      <c r="O28" s="98">
        <v>232</v>
      </c>
      <c r="P28" s="85">
        <v>200</v>
      </c>
      <c r="Q28" s="84">
        <f t="shared" si="11"/>
        <v>1.1599999999999999</v>
      </c>
      <c r="R28" t="e">
        <f t="shared" si="4"/>
        <v>#N/A</v>
      </c>
      <c r="S28">
        <v>13926</v>
      </c>
      <c r="U28" s="111" t="s">
        <v>69</v>
      </c>
      <c r="V28" s="111">
        <v>93</v>
      </c>
      <c r="W28" s="111" t="s">
        <v>36</v>
      </c>
      <c r="X28" s="115">
        <v>46093</v>
      </c>
    </row>
    <row r="29" spans="1:24" ht="15" customHeight="1" x14ac:dyDescent="0.3">
      <c r="A29" s="81" t="s">
        <v>70</v>
      </c>
      <c r="B29" s="81" t="s">
        <v>51</v>
      </c>
      <c r="C29" s="81" t="s">
        <v>20</v>
      </c>
      <c r="D29" s="82" t="s">
        <v>52</v>
      </c>
      <c r="E29" s="82">
        <v>1</v>
      </c>
      <c r="F29" s="82" t="s">
        <v>53</v>
      </c>
      <c r="G29" s="82">
        <v>14</v>
      </c>
      <c r="H29" s="83">
        <v>46133</v>
      </c>
      <c r="I29" s="84">
        <v>4.04</v>
      </c>
      <c r="J29" s="84">
        <v>24.1</v>
      </c>
      <c r="K29" s="86"/>
      <c r="L29" s="98">
        <v>3.68</v>
      </c>
      <c r="M29" s="86">
        <f t="shared" si="16"/>
        <v>1.8032000000000001</v>
      </c>
      <c r="N29" s="84">
        <f t="shared" si="17"/>
        <v>2.7588960000000005</v>
      </c>
      <c r="O29" s="98">
        <v>252.9</v>
      </c>
      <c r="P29" s="85">
        <v>200</v>
      </c>
      <c r="Q29" s="84">
        <f t="shared" si="11"/>
        <v>1.2645</v>
      </c>
      <c r="R29" t="e">
        <f t="shared" si="4"/>
        <v>#N/A</v>
      </c>
      <c r="S29">
        <v>17738</v>
      </c>
      <c r="U29" s="110"/>
      <c r="V29" s="110"/>
      <c r="W29" s="110"/>
      <c r="X29" s="116">
        <v>46107</v>
      </c>
    </row>
    <row r="30" spans="1:24" ht="15" customHeight="1" x14ac:dyDescent="0.3">
      <c r="A30" s="81" t="s">
        <v>71</v>
      </c>
      <c r="B30" s="81" t="s">
        <v>19</v>
      </c>
      <c r="C30" s="81" t="s">
        <v>72</v>
      </c>
      <c r="D30" s="82" t="s">
        <v>73</v>
      </c>
      <c r="E30" s="82">
        <v>36</v>
      </c>
      <c r="F30" s="82" t="s">
        <v>74</v>
      </c>
      <c r="G30" s="82" t="str">
        <f t="shared" si="1"/>
        <v>1</v>
      </c>
      <c r="H30" s="87">
        <v>46035</v>
      </c>
      <c r="I30" s="84">
        <v>2.59</v>
      </c>
      <c r="J30" s="84">
        <v>7.9</v>
      </c>
      <c r="K30" s="86"/>
      <c r="L30" s="88">
        <v>46.26</v>
      </c>
      <c r="M30" s="89">
        <f t="shared" si="0"/>
        <v>22.667399999999997</v>
      </c>
      <c r="N30" s="84">
        <f t="shared" si="2"/>
        <v>34.681121999999995</v>
      </c>
      <c r="O30" s="88">
        <v>164.9</v>
      </c>
      <c r="P30" s="85">
        <v>200</v>
      </c>
      <c r="Q30" s="84">
        <f t="shared" si="11"/>
        <v>0.82450000000000001</v>
      </c>
      <c r="R30" t="e">
        <f t="shared" si="4"/>
        <v>#N/A</v>
      </c>
      <c r="S30">
        <v>20327</v>
      </c>
      <c r="U30" s="110"/>
      <c r="V30" s="110"/>
      <c r="W30" s="110"/>
      <c r="X30" s="116">
        <v>46113</v>
      </c>
    </row>
    <row r="31" spans="1:24" ht="15" customHeight="1" x14ac:dyDescent="0.3">
      <c r="A31" s="81" t="s">
        <v>75</v>
      </c>
      <c r="B31" s="81" t="s">
        <v>19</v>
      </c>
      <c r="C31" s="81" t="s">
        <v>72</v>
      </c>
      <c r="D31" s="82" t="s">
        <v>73</v>
      </c>
      <c r="E31" s="82">
        <v>36</v>
      </c>
      <c r="F31" s="82" t="s">
        <v>74</v>
      </c>
      <c r="G31" s="82" t="str">
        <f t="shared" si="1"/>
        <v>2</v>
      </c>
      <c r="H31" s="83">
        <v>46044</v>
      </c>
      <c r="I31" s="84">
        <v>2.9</v>
      </c>
      <c r="J31" s="84">
        <v>16.3</v>
      </c>
      <c r="K31" s="84"/>
      <c r="L31" s="85">
        <v>21.4</v>
      </c>
      <c r="M31" s="86">
        <f t="shared" si="0"/>
        <v>10.485999999999999</v>
      </c>
      <c r="N31" s="84">
        <f t="shared" si="2"/>
        <v>16.043579999999999</v>
      </c>
      <c r="O31" s="85">
        <v>196.55</v>
      </c>
      <c r="P31" s="85">
        <v>200</v>
      </c>
      <c r="Q31" s="84">
        <f t="shared" si="11"/>
        <v>0.98275000000000001</v>
      </c>
      <c r="R31" t="e">
        <f t="shared" si="4"/>
        <v>#N/A</v>
      </c>
      <c r="S31">
        <v>17297</v>
      </c>
      <c r="U31" s="110"/>
      <c r="V31" s="110"/>
      <c r="W31" s="110"/>
      <c r="X31" s="116">
        <v>46127</v>
      </c>
    </row>
    <row r="32" spans="1:24" ht="15" customHeight="1" x14ac:dyDescent="0.3">
      <c r="A32" s="81" t="s">
        <v>76</v>
      </c>
      <c r="B32" s="81" t="s">
        <v>19</v>
      </c>
      <c r="C32" s="81" t="s">
        <v>72</v>
      </c>
      <c r="D32" s="82" t="s">
        <v>73</v>
      </c>
      <c r="E32" s="82">
        <v>36</v>
      </c>
      <c r="F32" s="82" t="s">
        <v>74</v>
      </c>
      <c r="G32" s="82" t="str">
        <f t="shared" si="1"/>
        <v>3</v>
      </c>
      <c r="H32" s="83">
        <v>46050</v>
      </c>
      <c r="I32" s="84">
        <v>2.99</v>
      </c>
      <c r="J32" s="84">
        <v>17.2</v>
      </c>
      <c r="K32" s="84"/>
      <c r="L32" s="85">
        <v>19.34</v>
      </c>
      <c r="M32" s="86">
        <f t="shared" si="0"/>
        <v>9.4765999999999995</v>
      </c>
      <c r="N32" s="84">
        <f t="shared" si="2"/>
        <v>14.499198</v>
      </c>
      <c r="O32" s="85">
        <v>199.32</v>
      </c>
      <c r="P32" s="85">
        <v>200</v>
      </c>
      <c r="Q32" s="84">
        <f t="shared" si="11"/>
        <v>0.99659999999999993</v>
      </c>
      <c r="R32" t="e">
        <f t="shared" si="4"/>
        <v>#N/A</v>
      </c>
      <c r="S32">
        <v>14918</v>
      </c>
      <c r="U32" s="110"/>
      <c r="V32" s="110"/>
      <c r="W32" s="110"/>
      <c r="X32" s="116">
        <v>46141</v>
      </c>
    </row>
    <row r="33" spans="1:26" ht="15" customHeight="1" x14ac:dyDescent="0.3">
      <c r="A33" s="81" t="s">
        <v>77</v>
      </c>
      <c r="B33" s="81" t="s">
        <v>19</v>
      </c>
      <c r="C33" s="81" t="s">
        <v>72</v>
      </c>
      <c r="D33" s="82" t="s">
        <v>73</v>
      </c>
      <c r="E33" s="82">
        <v>36</v>
      </c>
      <c r="F33" s="82" t="s">
        <v>74</v>
      </c>
      <c r="G33" s="82" t="str">
        <f t="shared" si="1"/>
        <v>4</v>
      </c>
      <c r="H33" s="83">
        <v>46057</v>
      </c>
      <c r="I33" s="84">
        <v>3.03</v>
      </c>
      <c r="J33" s="84">
        <v>17.8</v>
      </c>
      <c r="K33" s="84"/>
      <c r="L33" s="85">
        <v>14.24</v>
      </c>
      <c r="M33" s="86">
        <f t="shared" si="0"/>
        <v>6.9775999999999998</v>
      </c>
      <c r="N33" s="84">
        <f t="shared" si="2"/>
        <v>10.675727999999999</v>
      </c>
      <c r="O33" s="85">
        <v>245.6</v>
      </c>
      <c r="P33" s="85">
        <v>200</v>
      </c>
      <c r="Q33" s="84">
        <f t="shared" si="11"/>
        <v>1.228</v>
      </c>
      <c r="R33" t="e">
        <f t="shared" si="4"/>
        <v>#N/A</v>
      </c>
      <c r="S33">
        <v>11933</v>
      </c>
      <c r="U33" s="108" t="s">
        <v>35</v>
      </c>
      <c r="V33" s="108"/>
      <c r="W33" s="108" t="s">
        <v>36</v>
      </c>
      <c r="X33" s="114">
        <v>46086</v>
      </c>
    </row>
    <row r="34" spans="1:26" ht="15" customHeight="1" x14ac:dyDescent="0.3">
      <c r="A34" s="81" t="s">
        <v>78</v>
      </c>
      <c r="B34" s="81" t="s">
        <v>19</v>
      </c>
      <c r="C34" s="81" t="s">
        <v>72</v>
      </c>
      <c r="D34" s="82" t="s">
        <v>73</v>
      </c>
      <c r="E34" s="82">
        <v>36</v>
      </c>
      <c r="F34" s="82" t="s">
        <v>74</v>
      </c>
      <c r="G34" s="82" t="str">
        <f t="shared" si="1"/>
        <v>5</v>
      </c>
      <c r="H34" s="83">
        <v>46064</v>
      </c>
      <c r="I34" s="84">
        <v>3.15</v>
      </c>
      <c r="J34" s="84">
        <v>20.100000000000001</v>
      </c>
      <c r="K34" s="84"/>
      <c r="L34" s="85">
        <v>12.46</v>
      </c>
      <c r="M34" s="86">
        <f t="shared" si="0"/>
        <v>6.1054000000000004</v>
      </c>
      <c r="N34" s="84">
        <f t="shared" si="2"/>
        <v>9.3412620000000004</v>
      </c>
      <c r="O34" s="85">
        <v>261.60000000000002</v>
      </c>
      <c r="P34" s="85">
        <v>200</v>
      </c>
      <c r="Q34" s="84">
        <f t="shared" si="11"/>
        <v>1.3080000000000001</v>
      </c>
      <c r="R34" t="e">
        <f t="shared" si="4"/>
        <v>#N/A</v>
      </c>
      <c r="S34">
        <v>15813</v>
      </c>
      <c r="U34" s="108"/>
      <c r="V34" s="108"/>
      <c r="W34" s="108"/>
      <c r="X34" s="114">
        <v>46100</v>
      </c>
    </row>
    <row r="35" spans="1:26" ht="15" customHeight="1" x14ac:dyDescent="0.3">
      <c r="A35" s="81" t="s">
        <v>79</v>
      </c>
      <c r="B35" s="81" t="s">
        <v>19</v>
      </c>
      <c r="C35" s="81" t="s">
        <v>72</v>
      </c>
      <c r="D35" s="82" t="s">
        <v>73</v>
      </c>
      <c r="E35" s="82">
        <v>36</v>
      </c>
      <c r="F35" s="82" t="s">
        <v>74</v>
      </c>
      <c r="G35" s="82" t="str">
        <f t="shared" si="1"/>
        <v>6</v>
      </c>
      <c r="H35" s="83">
        <v>46071</v>
      </c>
      <c r="I35" s="84">
        <v>3.21</v>
      </c>
      <c r="J35" s="84">
        <v>21.8</v>
      </c>
      <c r="K35" s="84"/>
      <c r="L35" s="85">
        <v>10.98</v>
      </c>
      <c r="M35" s="86">
        <f t="shared" si="0"/>
        <v>5.3802000000000003</v>
      </c>
      <c r="N35" s="84">
        <f t="shared" si="2"/>
        <v>8.2317060000000009</v>
      </c>
      <c r="O35" s="85">
        <v>240.9</v>
      </c>
      <c r="P35" s="85">
        <v>200</v>
      </c>
      <c r="Q35" s="84">
        <f t="shared" si="11"/>
        <v>1.2045000000000001</v>
      </c>
      <c r="R35" t="e">
        <f t="shared" si="4"/>
        <v>#N/A</v>
      </c>
      <c r="S35">
        <v>13668</v>
      </c>
      <c r="U35" s="108"/>
      <c r="V35" s="108"/>
      <c r="W35" s="108"/>
      <c r="X35" s="114">
        <v>46108</v>
      </c>
    </row>
    <row r="36" spans="1:26" ht="15" customHeight="1" x14ac:dyDescent="0.3">
      <c r="A36" s="81" t="s">
        <v>80</v>
      </c>
      <c r="B36" s="81" t="s">
        <v>19</v>
      </c>
      <c r="C36" s="81" t="s">
        <v>72</v>
      </c>
      <c r="D36" s="82" t="s">
        <v>73</v>
      </c>
      <c r="E36" s="82">
        <v>36</v>
      </c>
      <c r="F36" s="82" t="s">
        <v>74</v>
      </c>
      <c r="G36" s="82" t="str">
        <f t="shared" si="1"/>
        <v>7</v>
      </c>
      <c r="H36" s="83">
        <v>46078</v>
      </c>
      <c r="I36" s="84">
        <v>3.23</v>
      </c>
      <c r="J36" s="84">
        <v>23.7</v>
      </c>
      <c r="K36" s="84"/>
      <c r="L36" s="85">
        <v>9.66</v>
      </c>
      <c r="M36" s="86">
        <f t="shared" si="0"/>
        <v>4.7333999999999996</v>
      </c>
      <c r="N36" s="84">
        <f t="shared" si="2"/>
        <v>7.2421019999999992</v>
      </c>
      <c r="O36" s="85">
        <v>229.3</v>
      </c>
      <c r="P36" s="85">
        <v>200</v>
      </c>
      <c r="Q36" s="84">
        <f t="shared" si="11"/>
        <v>1.1465000000000001</v>
      </c>
      <c r="R36" t="e">
        <f t="shared" si="4"/>
        <v>#N/A</v>
      </c>
      <c r="U36" s="108"/>
      <c r="V36" s="108"/>
      <c r="W36" s="108"/>
      <c r="X36" s="114">
        <v>46114</v>
      </c>
    </row>
    <row r="37" spans="1:26" ht="15" customHeight="1" x14ac:dyDescent="0.3">
      <c r="A37" s="81" t="s">
        <v>81</v>
      </c>
      <c r="B37" s="81" t="s">
        <v>19</v>
      </c>
      <c r="C37" s="81" t="s">
        <v>72</v>
      </c>
      <c r="D37" s="82" t="s">
        <v>73</v>
      </c>
      <c r="E37" s="82">
        <v>36</v>
      </c>
      <c r="F37" s="82" t="s">
        <v>74</v>
      </c>
      <c r="G37" s="82" t="str">
        <f t="shared" si="1"/>
        <v>8</v>
      </c>
      <c r="H37" s="83">
        <v>46085</v>
      </c>
      <c r="I37" s="84">
        <v>3.31</v>
      </c>
      <c r="J37" s="84">
        <v>24.7</v>
      </c>
      <c r="K37" s="84">
        <v>1</v>
      </c>
      <c r="L37" s="85">
        <v>8.6999999999999993</v>
      </c>
      <c r="M37" s="86">
        <f t="shared" si="0"/>
        <v>4.2629999999999999</v>
      </c>
      <c r="N37" s="84">
        <f t="shared" si="2"/>
        <v>6.5223899999999997</v>
      </c>
      <c r="O37" s="85">
        <v>231.6</v>
      </c>
      <c r="P37" s="85">
        <v>200</v>
      </c>
      <c r="Q37" s="84">
        <f t="shared" si="11"/>
        <v>1.1579999999999999</v>
      </c>
      <c r="R37">
        <f t="shared" si="4"/>
        <v>17667</v>
      </c>
      <c r="U37" s="108"/>
      <c r="V37" s="108"/>
      <c r="W37" s="108"/>
      <c r="X37" s="114">
        <v>46121</v>
      </c>
    </row>
    <row r="38" spans="1:26" ht="15" customHeight="1" x14ac:dyDescent="0.3">
      <c r="A38" s="81" t="s">
        <v>82</v>
      </c>
      <c r="B38" s="81" t="s">
        <v>19</v>
      </c>
      <c r="C38" s="81" t="s">
        <v>72</v>
      </c>
      <c r="D38" s="82" t="s">
        <v>73</v>
      </c>
      <c r="E38" s="82">
        <v>36</v>
      </c>
      <c r="F38" s="82" t="s">
        <v>74</v>
      </c>
      <c r="G38" s="82" t="str">
        <f t="shared" si="1"/>
        <v>9</v>
      </c>
      <c r="H38" s="83">
        <v>46092</v>
      </c>
      <c r="I38" s="84">
        <v>3.49</v>
      </c>
      <c r="J38" s="84">
        <v>25.8</v>
      </c>
      <c r="K38" s="84"/>
      <c r="L38" s="85">
        <v>8.52</v>
      </c>
      <c r="M38" s="86">
        <f t="shared" si="0"/>
        <v>4.1747999999999994</v>
      </c>
      <c r="N38" s="84">
        <f t="shared" si="2"/>
        <v>6.3874439999999995</v>
      </c>
      <c r="O38" s="85">
        <v>225.8</v>
      </c>
      <c r="P38" s="85">
        <v>200</v>
      </c>
      <c r="Q38" s="84">
        <f t="shared" si="11"/>
        <v>1.129</v>
      </c>
      <c r="R38" t="e">
        <f t="shared" si="4"/>
        <v>#N/A</v>
      </c>
      <c r="U38" s="110" t="s">
        <v>38</v>
      </c>
      <c r="V38" s="110"/>
      <c r="W38" s="110" t="s">
        <v>31</v>
      </c>
      <c r="X38" s="116">
        <v>46087</v>
      </c>
    </row>
    <row r="39" spans="1:26" ht="15" customHeight="1" x14ac:dyDescent="0.3">
      <c r="A39" s="81" t="s">
        <v>83</v>
      </c>
      <c r="B39" s="81" t="s">
        <v>19</v>
      </c>
      <c r="C39" s="81" t="s">
        <v>72</v>
      </c>
      <c r="D39" s="82" t="s">
        <v>73</v>
      </c>
      <c r="E39" s="82">
        <v>36</v>
      </c>
      <c r="F39" s="82" t="s">
        <v>74</v>
      </c>
      <c r="G39" s="82">
        <v>10</v>
      </c>
      <c r="H39" s="83">
        <v>46099</v>
      </c>
      <c r="I39" s="84">
        <v>3.4</v>
      </c>
      <c r="J39" s="84">
        <v>25.7</v>
      </c>
      <c r="K39" s="84">
        <v>2</v>
      </c>
      <c r="L39" s="85">
        <v>8.02</v>
      </c>
      <c r="M39" s="86">
        <f t="shared" si="0"/>
        <v>3.9297999999999997</v>
      </c>
      <c r="N39" s="84">
        <f t="shared" si="2"/>
        <v>6.012594</v>
      </c>
      <c r="O39" s="85">
        <v>224.8</v>
      </c>
      <c r="P39" s="85">
        <v>200</v>
      </c>
      <c r="Q39" s="84">
        <f t="shared" si="11"/>
        <v>1.1240000000000001</v>
      </c>
      <c r="R39">
        <f t="shared" si="4"/>
        <v>14967</v>
      </c>
      <c r="U39" s="110"/>
      <c r="V39" s="110"/>
      <c r="W39" s="110"/>
      <c r="X39" s="116">
        <v>46108</v>
      </c>
    </row>
    <row r="40" spans="1:26" ht="15" customHeight="1" x14ac:dyDescent="0.3">
      <c r="A40" s="81" t="s">
        <v>84</v>
      </c>
      <c r="B40" s="81" t="s">
        <v>19</v>
      </c>
      <c r="C40" s="81" t="s">
        <v>72</v>
      </c>
      <c r="D40" s="82" t="s">
        <v>73</v>
      </c>
      <c r="E40" s="82">
        <v>36</v>
      </c>
      <c r="F40" s="82" t="s">
        <v>74</v>
      </c>
      <c r="G40" s="82">
        <v>11</v>
      </c>
      <c r="H40" s="83">
        <v>46106</v>
      </c>
      <c r="I40" s="84">
        <v>3.36</v>
      </c>
      <c r="J40" s="84">
        <v>26.2</v>
      </c>
      <c r="K40" s="84">
        <v>3</v>
      </c>
      <c r="L40" s="85">
        <v>8.32</v>
      </c>
      <c r="M40" s="86">
        <f t="shared" si="0"/>
        <v>4.0768000000000004</v>
      </c>
      <c r="N40" s="84">
        <f t="shared" si="2"/>
        <v>6.2375040000000004</v>
      </c>
      <c r="O40" s="85">
        <v>201.2</v>
      </c>
      <c r="P40" s="85">
        <v>200</v>
      </c>
      <c r="Q40" s="84">
        <f t="shared" si="11"/>
        <v>1.006</v>
      </c>
      <c r="R40">
        <f t="shared" si="4"/>
        <v>15967</v>
      </c>
      <c r="U40" s="110"/>
      <c r="V40" s="110"/>
      <c r="W40" s="110"/>
      <c r="X40" s="116">
        <v>46113</v>
      </c>
    </row>
    <row r="41" spans="1:26" ht="15" customHeight="1" x14ac:dyDescent="0.3">
      <c r="A41" s="81" t="s">
        <v>85</v>
      </c>
      <c r="B41" s="81" t="s">
        <v>19</v>
      </c>
      <c r="C41" s="81" t="s">
        <v>72</v>
      </c>
      <c r="D41" s="82" t="s">
        <v>73</v>
      </c>
      <c r="E41" s="82">
        <v>36</v>
      </c>
      <c r="F41" s="82" t="s">
        <v>74</v>
      </c>
      <c r="G41" s="82">
        <v>12</v>
      </c>
      <c r="H41" s="83">
        <v>46112</v>
      </c>
      <c r="I41" s="84">
        <v>3.25</v>
      </c>
      <c r="J41" s="84">
        <v>25.9</v>
      </c>
      <c r="K41" s="84">
        <v>4</v>
      </c>
      <c r="L41" s="85">
        <v>8.3800000000000008</v>
      </c>
      <c r="M41" s="86">
        <f t="shared" ref="M41" si="18">L41*0.49</f>
        <v>4.1062000000000003</v>
      </c>
      <c r="N41" s="84">
        <f t="shared" ref="N41" si="19">M41*1.53</f>
        <v>6.2824860000000005</v>
      </c>
      <c r="O41" s="85">
        <v>217.4</v>
      </c>
      <c r="P41" s="85">
        <v>200</v>
      </c>
      <c r="Q41" s="84">
        <f t="shared" si="11"/>
        <v>1.087</v>
      </c>
      <c r="R41">
        <f t="shared" si="4"/>
        <v>16975</v>
      </c>
      <c r="U41" s="110"/>
      <c r="V41" s="110"/>
      <c r="W41" s="110"/>
      <c r="X41" s="116">
        <v>46120</v>
      </c>
    </row>
    <row r="42" spans="1:26" ht="15" customHeight="1" x14ac:dyDescent="0.3">
      <c r="A42" s="81" t="s">
        <v>86</v>
      </c>
      <c r="B42" s="81" t="s">
        <v>19</v>
      </c>
      <c r="C42" s="81" t="s">
        <v>72</v>
      </c>
      <c r="D42" s="82" t="s">
        <v>73</v>
      </c>
      <c r="E42" s="82">
        <v>36</v>
      </c>
      <c r="F42" s="82" t="s">
        <v>74</v>
      </c>
      <c r="G42" s="82">
        <v>13</v>
      </c>
      <c r="H42" s="83">
        <v>46119</v>
      </c>
      <c r="I42" s="84">
        <v>3.55</v>
      </c>
      <c r="J42" s="84">
        <v>24.5</v>
      </c>
      <c r="K42" s="84">
        <v>5</v>
      </c>
      <c r="L42" s="85">
        <v>8.2799999999999994</v>
      </c>
      <c r="M42" s="86">
        <f t="shared" ref="M42" si="20">L42*0.49</f>
        <v>4.0571999999999999</v>
      </c>
      <c r="N42" s="84">
        <f t="shared" ref="N42" si="21">M42*1.53</f>
        <v>6.207516</v>
      </c>
      <c r="O42" s="85">
        <v>257.60000000000002</v>
      </c>
      <c r="P42" s="85">
        <v>200</v>
      </c>
      <c r="Q42" s="84">
        <f t="shared" si="11"/>
        <v>1.288</v>
      </c>
      <c r="R42">
        <f t="shared" si="4"/>
        <v>14561</v>
      </c>
      <c r="U42" s="110"/>
      <c r="V42" s="110"/>
      <c r="W42" s="110"/>
      <c r="X42" s="116">
        <v>46128</v>
      </c>
    </row>
    <row r="43" spans="1:26" ht="15" customHeight="1" x14ac:dyDescent="0.3">
      <c r="A43" s="81" t="s">
        <v>87</v>
      </c>
      <c r="B43" s="81" t="s">
        <v>19</v>
      </c>
      <c r="C43" s="81" t="s">
        <v>72</v>
      </c>
      <c r="D43" s="82" t="s">
        <v>88</v>
      </c>
      <c r="E43" s="82">
        <v>2</v>
      </c>
      <c r="F43" s="82" t="s">
        <v>89</v>
      </c>
      <c r="G43" s="82" t="str">
        <f t="shared" si="1"/>
        <v>1</v>
      </c>
      <c r="H43" s="83">
        <v>46043</v>
      </c>
      <c r="I43" s="84">
        <v>2.79</v>
      </c>
      <c r="J43" s="84">
        <v>13.5</v>
      </c>
      <c r="K43" s="84"/>
      <c r="L43" s="85">
        <v>25.94</v>
      </c>
      <c r="M43" s="86">
        <f t="shared" si="0"/>
        <v>12.710600000000001</v>
      </c>
      <c r="N43" s="84">
        <f t="shared" si="2"/>
        <v>19.447218000000003</v>
      </c>
      <c r="O43" s="85">
        <v>211.05</v>
      </c>
      <c r="P43" s="85">
        <v>200</v>
      </c>
      <c r="Q43" s="84">
        <f t="shared" si="11"/>
        <v>1.05525</v>
      </c>
      <c r="R43" t="e">
        <f t="shared" si="4"/>
        <v>#N/A</v>
      </c>
      <c r="U43" s="108" t="s">
        <v>33</v>
      </c>
      <c r="V43" s="108"/>
      <c r="W43" s="108" t="s">
        <v>31</v>
      </c>
      <c r="X43" s="114">
        <v>46092</v>
      </c>
    </row>
    <row r="44" spans="1:26" ht="15" customHeight="1" x14ac:dyDescent="0.3">
      <c r="A44" s="81" t="s">
        <v>90</v>
      </c>
      <c r="B44" s="81" t="s">
        <v>19</v>
      </c>
      <c r="C44" s="81" t="s">
        <v>72</v>
      </c>
      <c r="D44" s="82" t="s">
        <v>88</v>
      </c>
      <c r="E44" s="82">
        <v>2</v>
      </c>
      <c r="F44" s="82" t="s">
        <v>89</v>
      </c>
      <c r="G44" s="82" t="str">
        <f t="shared" si="1"/>
        <v>2</v>
      </c>
      <c r="H44" s="83">
        <v>46049</v>
      </c>
      <c r="I44" s="84">
        <v>2.77</v>
      </c>
      <c r="J44" s="84">
        <v>15</v>
      </c>
      <c r="K44" s="84"/>
      <c r="L44" s="85">
        <v>31.46</v>
      </c>
      <c r="M44" s="86">
        <f t="shared" si="0"/>
        <v>15.4154</v>
      </c>
      <c r="N44" s="84">
        <f t="shared" si="2"/>
        <v>23.585561999999999</v>
      </c>
      <c r="O44" s="85">
        <v>214.79</v>
      </c>
      <c r="P44" s="85">
        <v>200</v>
      </c>
      <c r="Q44" s="84">
        <f t="shared" si="11"/>
        <v>1.07395</v>
      </c>
      <c r="R44" t="e">
        <f t="shared" si="4"/>
        <v>#N/A</v>
      </c>
      <c r="U44" s="108"/>
      <c r="V44" s="108"/>
      <c r="W44" s="108"/>
      <c r="X44" s="114">
        <v>46105</v>
      </c>
    </row>
    <row r="45" spans="1:26" ht="15" customHeight="1" x14ac:dyDescent="0.3">
      <c r="A45" s="81" t="s">
        <v>91</v>
      </c>
      <c r="B45" s="81" t="s">
        <v>19</v>
      </c>
      <c r="C45" s="81" t="s">
        <v>72</v>
      </c>
      <c r="D45" s="82" t="s">
        <v>88</v>
      </c>
      <c r="E45" s="82">
        <v>2</v>
      </c>
      <c r="F45" s="82" t="s">
        <v>89</v>
      </c>
      <c r="G45" s="82" t="str">
        <f t="shared" si="1"/>
        <v>3</v>
      </c>
      <c r="H45" s="83">
        <v>46056</v>
      </c>
      <c r="I45" s="84">
        <v>2.86</v>
      </c>
      <c r="J45" s="84">
        <v>15.5</v>
      </c>
      <c r="K45" s="84"/>
      <c r="L45" s="85">
        <v>25.72</v>
      </c>
      <c r="M45" s="86">
        <f t="shared" si="0"/>
        <v>12.602799999999998</v>
      </c>
      <c r="N45" s="84">
        <f t="shared" si="2"/>
        <v>19.282283999999997</v>
      </c>
      <c r="O45" s="85">
        <v>236.95</v>
      </c>
      <c r="P45" s="85">
        <v>200</v>
      </c>
      <c r="Q45" s="84">
        <f t="shared" si="11"/>
        <v>1.18475</v>
      </c>
      <c r="R45" t="e">
        <f t="shared" si="4"/>
        <v>#N/A</v>
      </c>
      <c r="U45" s="108"/>
      <c r="V45" s="108"/>
      <c r="W45" s="108"/>
      <c r="X45" s="114">
        <v>46112</v>
      </c>
    </row>
    <row r="46" spans="1:26" ht="15" customHeight="1" x14ac:dyDescent="0.3">
      <c r="A46" s="81" t="s">
        <v>92</v>
      </c>
      <c r="B46" s="81" t="s">
        <v>19</v>
      </c>
      <c r="C46" s="81" t="s">
        <v>72</v>
      </c>
      <c r="D46" s="82" t="s">
        <v>88</v>
      </c>
      <c r="E46" s="82">
        <v>2</v>
      </c>
      <c r="F46" s="82" t="s">
        <v>89</v>
      </c>
      <c r="G46" s="82" t="str">
        <f t="shared" si="1"/>
        <v>4</v>
      </c>
      <c r="H46" s="83">
        <v>46063</v>
      </c>
      <c r="I46" s="84">
        <v>3.11</v>
      </c>
      <c r="J46" s="84">
        <v>18.2</v>
      </c>
      <c r="K46" s="84"/>
      <c r="L46" s="85">
        <v>19.12</v>
      </c>
      <c r="M46" s="86">
        <f t="shared" si="0"/>
        <v>9.3688000000000002</v>
      </c>
      <c r="N46" s="84">
        <f t="shared" si="2"/>
        <v>14.334264000000001</v>
      </c>
      <c r="O46" s="85">
        <v>273.5</v>
      </c>
      <c r="P46" s="85">
        <v>200</v>
      </c>
      <c r="Q46" s="84">
        <f t="shared" si="11"/>
        <v>1.3674999999999999</v>
      </c>
      <c r="R46" t="e">
        <f t="shared" si="4"/>
        <v>#N/A</v>
      </c>
      <c r="U46" s="108"/>
      <c r="V46" s="108"/>
      <c r="W46" s="108"/>
      <c r="X46" s="114">
        <v>46119</v>
      </c>
    </row>
    <row r="47" spans="1:26" ht="15" customHeight="1" x14ac:dyDescent="0.3">
      <c r="A47" s="81" t="s">
        <v>93</v>
      </c>
      <c r="B47" s="81" t="s">
        <v>19</v>
      </c>
      <c r="C47" s="81" t="s">
        <v>72</v>
      </c>
      <c r="D47" s="82" t="s">
        <v>88</v>
      </c>
      <c r="E47" s="82">
        <v>2</v>
      </c>
      <c r="F47" s="82" t="s">
        <v>89</v>
      </c>
      <c r="G47" s="82" t="str">
        <f t="shared" si="1"/>
        <v>5</v>
      </c>
      <c r="H47" s="83">
        <v>46070</v>
      </c>
      <c r="I47" s="84">
        <v>3.13</v>
      </c>
      <c r="J47" s="84">
        <v>20</v>
      </c>
      <c r="K47" s="84"/>
      <c r="L47" s="85">
        <v>16.5</v>
      </c>
      <c r="M47" s="86">
        <f t="shared" si="0"/>
        <v>8.0849999999999991</v>
      </c>
      <c r="N47" s="84">
        <f t="shared" si="2"/>
        <v>12.370049999999999</v>
      </c>
      <c r="O47" s="85">
        <v>277.89999999999998</v>
      </c>
      <c r="P47" s="85">
        <v>200</v>
      </c>
      <c r="Q47" s="84">
        <f t="shared" si="11"/>
        <v>1.3895</v>
      </c>
      <c r="R47" t="e">
        <f t="shared" si="4"/>
        <v>#N/A</v>
      </c>
      <c r="U47" s="109"/>
      <c r="V47" s="109"/>
      <c r="W47" s="109"/>
      <c r="X47" s="114">
        <v>46126</v>
      </c>
    </row>
    <row r="48" spans="1:26" ht="15" customHeight="1" x14ac:dyDescent="0.3">
      <c r="A48" s="81" t="s">
        <v>94</v>
      </c>
      <c r="B48" s="81" t="s">
        <v>19</v>
      </c>
      <c r="C48" s="81" t="s">
        <v>72</v>
      </c>
      <c r="D48" s="82" t="s">
        <v>88</v>
      </c>
      <c r="E48" s="82">
        <v>2</v>
      </c>
      <c r="F48" s="82" t="s">
        <v>89</v>
      </c>
      <c r="G48" s="82" t="str">
        <f t="shared" si="1"/>
        <v>6</v>
      </c>
      <c r="H48" s="83">
        <v>46077</v>
      </c>
      <c r="I48" s="84">
        <v>3.1</v>
      </c>
      <c r="J48" s="84">
        <v>20.7</v>
      </c>
      <c r="K48" s="84"/>
      <c r="L48" s="85">
        <v>14.7</v>
      </c>
      <c r="M48" s="86">
        <f t="shared" si="0"/>
        <v>7.2029999999999994</v>
      </c>
      <c r="N48" s="84">
        <f t="shared" si="2"/>
        <v>11.020589999999999</v>
      </c>
      <c r="O48" s="85">
        <v>291.10000000000002</v>
      </c>
      <c r="P48" s="85">
        <v>200</v>
      </c>
      <c r="Q48" s="84">
        <f t="shared" si="11"/>
        <v>1.4555</v>
      </c>
      <c r="R48" t="e">
        <f t="shared" si="4"/>
        <v>#N/A</v>
      </c>
      <c r="U48" s="110" t="s">
        <v>69</v>
      </c>
      <c r="V48" s="110"/>
      <c r="W48" s="110" t="s">
        <v>36</v>
      </c>
      <c r="X48" s="116">
        <v>46093</v>
      </c>
      <c r="Z48" t="s">
        <v>95</v>
      </c>
    </row>
    <row r="49" spans="1:25" ht="15" customHeight="1" x14ac:dyDescent="0.3">
      <c r="A49" s="81" t="s">
        <v>96</v>
      </c>
      <c r="B49" s="81" t="s">
        <v>19</v>
      </c>
      <c r="C49" s="81" t="s">
        <v>72</v>
      </c>
      <c r="D49" s="82" t="s">
        <v>88</v>
      </c>
      <c r="E49" s="82">
        <v>2</v>
      </c>
      <c r="F49" s="82" t="s">
        <v>89</v>
      </c>
      <c r="G49" s="82" t="str">
        <f t="shared" si="1"/>
        <v>7</v>
      </c>
      <c r="H49" s="83">
        <v>46084</v>
      </c>
      <c r="I49" s="84">
        <v>3.14</v>
      </c>
      <c r="J49" s="84">
        <v>21.8</v>
      </c>
      <c r="K49" s="84"/>
      <c r="L49" s="85">
        <v>13.68</v>
      </c>
      <c r="M49" s="86">
        <f t="shared" si="0"/>
        <v>6.7031999999999998</v>
      </c>
      <c r="N49" s="84">
        <f t="shared" si="2"/>
        <v>10.255896</v>
      </c>
      <c r="O49" s="85">
        <v>294.3</v>
      </c>
      <c r="P49" s="85">
        <v>200</v>
      </c>
      <c r="Q49" s="84">
        <f t="shared" si="11"/>
        <v>1.4715</v>
      </c>
      <c r="R49" t="e">
        <f t="shared" si="4"/>
        <v>#N/A</v>
      </c>
      <c r="U49" s="110"/>
      <c r="V49" s="110"/>
      <c r="W49" s="110"/>
      <c r="X49" s="116">
        <v>46107</v>
      </c>
    </row>
    <row r="50" spans="1:25" ht="15" customHeight="1" x14ac:dyDescent="0.3">
      <c r="A50" s="81" t="s">
        <v>97</v>
      </c>
      <c r="B50" s="81" t="s">
        <v>19</v>
      </c>
      <c r="C50" s="81" t="s">
        <v>72</v>
      </c>
      <c r="D50" s="82" t="s">
        <v>88</v>
      </c>
      <c r="E50" s="82">
        <v>2</v>
      </c>
      <c r="F50" s="82" t="s">
        <v>89</v>
      </c>
      <c r="G50" s="82" t="str">
        <f t="shared" si="1"/>
        <v>8</v>
      </c>
      <c r="H50" s="83">
        <v>46091</v>
      </c>
      <c r="I50" s="84">
        <v>3.07</v>
      </c>
      <c r="J50" s="84">
        <v>22.4</v>
      </c>
      <c r="K50" s="84">
        <v>1</v>
      </c>
      <c r="L50" s="85">
        <v>11.34</v>
      </c>
      <c r="M50" s="86">
        <f t="shared" si="0"/>
        <v>5.5565999999999995</v>
      </c>
      <c r="N50" s="84">
        <f t="shared" si="2"/>
        <v>8.5015979999999995</v>
      </c>
      <c r="O50" s="85">
        <v>287.60000000000002</v>
      </c>
      <c r="P50" s="85">
        <v>200</v>
      </c>
      <c r="Q50" s="84">
        <f t="shared" si="11"/>
        <v>1.4380000000000002</v>
      </c>
      <c r="R50">
        <f t="shared" si="4"/>
        <v>17667</v>
      </c>
      <c r="U50" s="110"/>
      <c r="V50" s="110"/>
      <c r="W50" s="110"/>
      <c r="X50" s="116">
        <v>46113</v>
      </c>
    </row>
    <row r="51" spans="1:25" ht="15" customHeight="1" x14ac:dyDescent="0.3">
      <c r="A51" s="81" t="s">
        <v>98</v>
      </c>
      <c r="B51" s="81" t="s">
        <v>19</v>
      </c>
      <c r="C51" s="81" t="s">
        <v>72</v>
      </c>
      <c r="D51" s="82" t="s">
        <v>88</v>
      </c>
      <c r="E51" s="82">
        <v>2</v>
      </c>
      <c r="F51" s="82" t="s">
        <v>89</v>
      </c>
      <c r="G51" s="82" t="str">
        <f t="shared" si="1"/>
        <v>9</v>
      </c>
      <c r="H51" s="83">
        <v>46098</v>
      </c>
      <c r="I51" s="84">
        <v>3.16</v>
      </c>
      <c r="J51" s="84">
        <v>23.1</v>
      </c>
      <c r="K51" s="84"/>
      <c r="L51" s="85">
        <v>9.86</v>
      </c>
      <c r="M51" s="86">
        <f t="shared" si="0"/>
        <v>4.8313999999999995</v>
      </c>
      <c r="N51" s="84">
        <f t="shared" si="2"/>
        <v>7.3920419999999991</v>
      </c>
      <c r="O51" s="85">
        <v>276</v>
      </c>
      <c r="P51" s="85">
        <v>200</v>
      </c>
      <c r="Q51" s="84">
        <f t="shared" si="11"/>
        <v>1.38</v>
      </c>
      <c r="R51" t="e">
        <f t="shared" si="4"/>
        <v>#N/A</v>
      </c>
      <c r="U51" s="110"/>
      <c r="V51" s="110"/>
      <c r="W51" s="110"/>
      <c r="X51" s="116">
        <v>46127</v>
      </c>
    </row>
    <row r="52" spans="1:25" ht="15" customHeight="1" x14ac:dyDescent="0.3">
      <c r="A52" s="81" t="s">
        <v>99</v>
      </c>
      <c r="B52" s="81" t="s">
        <v>19</v>
      </c>
      <c r="C52" s="81" t="s">
        <v>72</v>
      </c>
      <c r="D52" s="82" t="s">
        <v>88</v>
      </c>
      <c r="E52" s="82">
        <v>2</v>
      </c>
      <c r="F52" s="82" t="s">
        <v>89</v>
      </c>
      <c r="G52" s="82">
        <v>10</v>
      </c>
      <c r="H52" s="83">
        <v>46105</v>
      </c>
      <c r="I52" s="84">
        <v>3.13</v>
      </c>
      <c r="J52" s="84">
        <v>22.7</v>
      </c>
      <c r="K52" s="84">
        <v>2</v>
      </c>
      <c r="L52" s="85">
        <v>9.9700000000000006</v>
      </c>
      <c r="M52" s="86">
        <f t="shared" si="0"/>
        <v>4.8853</v>
      </c>
      <c r="N52" s="84">
        <f t="shared" si="2"/>
        <v>7.4745090000000003</v>
      </c>
      <c r="O52" s="85">
        <v>281</v>
      </c>
      <c r="P52" s="85">
        <v>200</v>
      </c>
      <c r="Q52" s="84">
        <f t="shared" si="11"/>
        <v>1.405</v>
      </c>
      <c r="R52">
        <f t="shared" si="4"/>
        <v>14967</v>
      </c>
      <c r="U52" s="110"/>
      <c r="V52" s="110"/>
      <c r="W52" s="110"/>
      <c r="X52" s="116">
        <v>46141</v>
      </c>
    </row>
    <row r="53" spans="1:25" ht="15" customHeight="1" x14ac:dyDescent="0.3">
      <c r="A53" s="81" t="s">
        <v>100</v>
      </c>
      <c r="B53" s="81" t="s">
        <v>19</v>
      </c>
      <c r="C53" s="81" t="s">
        <v>72</v>
      </c>
      <c r="D53" s="82" t="s">
        <v>88</v>
      </c>
      <c r="E53" s="82">
        <v>2</v>
      </c>
      <c r="F53" s="82" t="s">
        <v>89</v>
      </c>
      <c r="G53" s="82">
        <v>11</v>
      </c>
      <c r="H53" s="83">
        <v>46112</v>
      </c>
      <c r="I53" s="84">
        <v>3.21</v>
      </c>
      <c r="J53" s="84">
        <v>25.7</v>
      </c>
      <c r="K53" s="84">
        <v>3</v>
      </c>
      <c r="L53" s="85">
        <v>10.36</v>
      </c>
      <c r="M53" s="86">
        <f t="shared" si="0"/>
        <v>5.0763999999999996</v>
      </c>
      <c r="N53" s="84">
        <f t="shared" si="2"/>
        <v>7.7668919999999995</v>
      </c>
      <c r="O53" s="85">
        <v>263</v>
      </c>
      <c r="P53" s="85">
        <v>200</v>
      </c>
      <c r="Q53" s="84">
        <f t="shared" si="11"/>
        <v>1.3149999999999999</v>
      </c>
      <c r="R53">
        <f t="shared" si="4"/>
        <v>15967</v>
      </c>
      <c r="U53" s="108" t="s">
        <v>40</v>
      </c>
      <c r="V53" s="108"/>
      <c r="W53" s="108" t="s">
        <v>31</v>
      </c>
      <c r="X53" s="114">
        <v>46078</v>
      </c>
    </row>
    <row r="54" spans="1:25" ht="15" customHeight="1" x14ac:dyDescent="0.3">
      <c r="A54" s="81" t="s">
        <v>101</v>
      </c>
      <c r="B54" s="81" t="s">
        <v>19</v>
      </c>
      <c r="C54" s="81" t="s">
        <v>72</v>
      </c>
      <c r="D54" s="82" t="s">
        <v>88</v>
      </c>
      <c r="E54" s="82">
        <v>2</v>
      </c>
      <c r="F54" s="82" t="s">
        <v>89</v>
      </c>
      <c r="G54" s="82">
        <v>12</v>
      </c>
      <c r="H54" s="83">
        <v>46119</v>
      </c>
      <c r="I54" s="84">
        <v>3.26</v>
      </c>
      <c r="J54" s="84">
        <v>25.2</v>
      </c>
      <c r="K54" s="84">
        <v>4</v>
      </c>
      <c r="L54" s="85">
        <v>8.73</v>
      </c>
      <c r="M54" s="86">
        <f t="shared" si="0"/>
        <v>4.2777000000000003</v>
      </c>
      <c r="N54" s="84">
        <f t="shared" si="2"/>
        <v>6.5448810000000002</v>
      </c>
      <c r="O54" s="85">
        <v>250</v>
      </c>
      <c r="P54" s="85">
        <v>200</v>
      </c>
      <c r="Q54" s="84">
        <f t="shared" si="11"/>
        <v>1.25</v>
      </c>
      <c r="R54">
        <f t="shared" si="4"/>
        <v>16975</v>
      </c>
      <c r="U54" s="108"/>
      <c r="V54" s="108"/>
      <c r="W54" s="108"/>
      <c r="X54" s="114">
        <v>46093</v>
      </c>
    </row>
    <row r="55" spans="1:25" ht="15" customHeight="1" x14ac:dyDescent="0.3">
      <c r="A55" s="81" t="s">
        <v>102</v>
      </c>
      <c r="B55" s="81" t="s">
        <v>19</v>
      </c>
      <c r="C55" s="81" t="s">
        <v>72</v>
      </c>
      <c r="D55" s="82" t="s">
        <v>88</v>
      </c>
      <c r="E55" s="82">
        <v>2</v>
      </c>
      <c r="F55" s="82" t="s">
        <v>89</v>
      </c>
      <c r="G55" s="82">
        <v>13</v>
      </c>
      <c r="H55" s="83">
        <v>46126</v>
      </c>
      <c r="I55" s="84">
        <v>3.22</v>
      </c>
      <c r="J55" s="84">
        <v>25</v>
      </c>
      <c r="K55" s="84">
        <v>5</v>
      </c>
      <c r="L55" s="85">
        <v>10.27</v>
      </c>
      <c r="M55" s="86">
        <f t="shared" ref="M55" si="22">L55*0.49</f>
        <v>5.0322999999999993</v>
      </c>
      <c r="N55" s="84">
        <f t="shared" ref="N55" si="23">M55*1.53</f>
        <v>7.6994189999999989</v>
      </c>
      <c r="O55" s="85">
        <v>260.2</v>
      </c>
      <c r="P55" s="85">
        <v>200</v>
      </c>
      <c r="Q55" s="84">
        <f t="shared" si="11"/>
        <v>1.3009999999999999</v>
      </c>
      <c r="R55">
        <f t="shared" si="4"/>
        <v>14561</v>
      </c>
      <c r="U55" s="108"/>
      <c r="V55" s="108"/>
      <c r="W55" s="108"/>
      <c r="X55" s="114">
        <v>46107</v>
      </c>
    </row>
    <row r="56" spans="1:25" ht="15" customHeight="1" x14ac:dyDescent="0.3">
      <c r="A56" s="81" t="s">
        <v>103</v>
      </c>
      <c r="B56" s="81" t="s">
        <v>51</v>
      </c>
      <c r="C56" s="81" t="s">
        <v>104</v>
      </c>
      <c r="D56" s="82" t="s">
        <v>105</v>
      </c>
      <c r="E56" s="82">
        <v>93</v>
      </c>
      <c r="F56" s="82" t="s">
        <v>106</v>
      </c>
      <c r="G56" s="82" t="str">
        <f t="shared" si="1"/>
        <v>1</v>
      </c>
      <c r="H56" s="83">
        <v>46044</v>
      </c>
      <c r="I56" s="84">
        <v>2.98</v>
      </c>
      <c r="J56" s="84">
        <v>15.1</v>
      </c>
      <c r="K56" s="84"/>
      <c r="L56" s="85">
        <v>17.3</v>
      </c>
      <c r="M56" s="86">
        <f t="shared" si="0"/>
        <v>8.4770000000000003</v>
      </c>
      <c r="N56" s="84">
        <f t="shared" si="2"/>
        <v>12.969810000000001</v>
      </c>
      <c r="O56" s="85">
        <v>300.75</v>
      </c>
      <c r="P56" s="85">
        <v>200</v>
      </c>
      <c r="Q56" s="84">
        <f t="shared" si="11"/>
        <v>1.5037499999999999</v>
      </c>
      <c r="R56" t="e">
        <f t="shared" si="4"/>
        <v>#N/A</v>
      </c>
      <c r="U56" s="108"/>
      <c r="V56" s="108"/>
      <c r="W56" s="108"/>
      <c r="X56" s="114">
        <v>46129</v>
      </c>
    </row>
    <row r="57" spans="1:25" ht="15" customHeight="1" x14ac:dyDescent="0.3">
      <c r="A57" s="81" t="s">
        <v>107</v>
      </c>
      <c r="B57" s="81" t="s">
        <v>51</v>
      </c>
      <c r="C57" s="81" t="s">
        <v>104</v>
      </c>
      <c r="D57" s="82" t="s">
        <v>105</v>
      </c>
      <c r="E57" s="82">
        <v>93</v>
      </c>
      <c r="F57" s="82" t="s">
        <v>106</v>
      </c>
      <c r="G57" s="82" t="str">
        <f t="shared" si="1"/>
        <v>2</v>
      </c>
      <c r="H57" s="83">
        <v>46050</v>
      </c>
      <c r="I57" s="84">
        <v>3.07</v>
      </c>
      <c r="J57" s="84">
        <v>16.2</v>
      </c>
      <c r="K57" s="84"/>
      <c r="L57" s="85">
        <v>15.36</v>
      </c>
      <c r="M57" s="86">
        <f t="shared" si="0"/>
        <v>7.5263999999999998</v>
      </c>
      <c r="N57" s="84">
        <f t="shared" si="2"/>
        <v>11.515392</v>
      </c>
      <c r="O57" s="85">
        <v>312.60000000000002</v>
      </c>
      <c r="P57" s="85">
        <v>200</v>
      </c>
      <c r="Q57" s="84">
        <f t="shared" si="11"/>
        <v>1.5630000000000002</v>
      </c>
      <c r="R57" t="e">
        <f t="shared" si="4"/>
        <v>#N/A</v>
      </c>
      <c r="U57" s="108"/>
      <c r="V57" s="108"/>
      <c r="W57" s="108"/>
      <c r="X57" s="114">
        <v>46135</v>
      </c>
    </row>
    <row r="58" spans="1:25" ht="14.4" x14ac:dyDescent="0.3">
      <c r="A58" s="81" t="s">
        <v>108</v>
      </c>
      <c r="B58" s="81" t="s">
        <v>51</v>
      </c>
      <c r="C58" s="81" t="s">
        <v>104</v>
      </c>
      <c r="D58" s="82" t="s">
        <v>105</v>
      </c>
      <c r="E58" s="82">
        <v>93</v>
      </c>
      <c r="F58" s="82" t="s">
        <v>106</v>
      </c>
      <c r="G58" s="82" t="str">
        <f t="shared" si="1"/>
        <v>3</v>
      </c>
      <c r="H58" s="83">
        <v>46057</v>
      </c>
      <c r="I58" s="84">
        <v>3.18</v>
      </c>
      <c r="J58" s="84">
        <v>18.399999999999999</v>
      </c>
      <c r="K58" s="84"/>
      <c r="L58" s="85">
        <v>10.8</v>
      </c>
      <c r="M58" s="86">
        <f t="shared" si="0"/>
        <v>5.2919999999999998</v>
      </c>
      <c r="N58" s="84">
        <f t="shared" si="2"/>
        <v>8.0967599999999997</v>
      </c>
      <c r="O58" s="85">
        <v>342.7</v>
      </c>
      <c r="P58" s="85">
        <v>200</v>
      </c>
      <c r="Q58" s="84">
        <f t="shared" si="11"/>
        <v>1.7135</v>
      </c>
      <c r="R58" t="e">
        <f t="shared" si="4"/>
        <v>#N/A</v>
      </c>
      <c r="U58" s="110" t="s">
        <v>40</v>
      </c>
      <c r="V58" s="110"/>
      <c r="W58" s="110" t="s">
        <v>36</v>
      </c>
      <c r="X58" s="116"/>
    </row>
    <row r="59" spans="1:25" ht="14.4" x14ac:dyDescent="0.3">
      <c r="A59" s="81" t="s">
        <v>109</v>
      </c>
      <c r="B59" s="81" t="s">
        <v>51</v>
      </c>
      <c r="C59" s="81" t="s">
        <v>104</v>
      </c>
      <c r="D59" s="82" t="s">
        <v>105</v>
      </c>
      <c r="E59" s="82">
        <v>93</v>
      </c>
      <c r="F59" s="82" t="s">
        <v>106</v>
      </c>
      <c r="G59" s="82" t="str">
        <f t="shared" si="1"/>
        <v>4</v>
      </c>
      <c r="H59" s="83">
        <v>46064</v>
      </c>
      <c r="I59" s="84">
        <v>3.33</v>
      </c>
      <c r="J59" s="84">
        <v>19.3</v>
      </c>
      <c r="K59" s="84"/>
      <c r="L59" s="85">
        <v>9.3800000000000008</v>
      </c>
      <c r="M59" s="86">
        <f t="shared" si="0"/>
        <v>4.5962000000000005</v>
      </c>
      <c r="N59" s="84">
        <f t="shared" si="2"/>
        <v>7.0321860000000012</v>
      </c>
      <c r="O59" s="85">
        <v>403.3</v>
      </c>
      <c r="P59" s="85">
        <v>200</v>
      </c>
      <c r="Q59" s="84">
        <f t="shared" si="11"/>
        <v>2.0165000000000002</v>
      </c>
      <c r="R59" t="e">
        <f t="shared" si="4"/>
        <v>#N/A</v>
      </c>
      <c r="U59" s="110"/>
      <c r="V59" s="110"/>
      <c r="W59" s="110"/>
      <c r="X59" s="116">
        <v>46098</v>
      </c>
    </row>
    <row r="60" spans="1:25" ht="14.4" x14ac:dyDescent="0.3">
      <c r="A60" s="81" t="s">
        <v>110</v>
      </c>
      <c r="B60" s="81" t="s">
        <v>51</v>
      </c>
      <c r="C60" s="81" t="s">
        <v>104</v>
      </c>
      <c r="D60" s="82" t="s">
        <v>105</v>
      </c>
      <c r="E60" s="82">
        <v>93</v>
      </c>
      <c r="F60" s="82" t="s">
        <v>106</v>
      </c>
      <c r="G60" s="82" t="str">
        <f t="shared" si="1"/>
        <v>5</v>
      </c>
      <c r="H60" s="83">
        <v>46071</v>
      </c>
      <c r="I60" s="84">
        <v>3.45</v>
      </c>
      <c r="J60" s="84">
        <v>20.6</v>
      </c>
      <c r="K60" s="84"/>
      <c r="L60" s="85">
        <v>7.56</v>
      </c>
      <c r="M60" s="86">
        <f t="shared" si="0"/>
        <v>3.7043999999999997</v>
      </c>
      <c r="N60" s="84">
        <f t="shared" si="2"/>
        <v>5.667732</v>
      </c>
      <c r="O60" s="85">
        <v>386.8</v>
      </c>
      <c r="P60" s="85">
        <v>200</v>
      </c>
      <c r="Q60" s="84">
        <f t="shared" si="11"/>
        <v>1.9340000000000002</v>
      </c>
      <c r="R60" t="e">
        <f t="shared" si="4"/>
        <v>#N/A</v>
      </c>
      <c r="U60" s="110"/>
      <c r="V60" s="110"/>
      <c r="W60" s="110"/>
      <c r="X60" s="116">
        <v>46108</v>
      </c>
    </row>
    <row r="61" spans="1:25" ht="14.4" x14ac:dyDescent="0.3">
      <c r="A61" s="81" t="s">
        <v>111</v>
      </c>
      <c r="B61" s="81" t="s">
        <v>51</v>
      </c>
      <c r="C61" s="81" t="s">
        <v>104</v>
      </c>
      <c r="D61" s="82" t="s">
        <v>105</v>
      </c>
      <c r="E61" s="82">
        <v>93</v>
      </c>
      <c r="F61" s="82" t="s">
        <v>106</v>
      </c>
      <c r="G61" s="82" t="str">
        <f t="shared" si="1"/>
        <v>6</v>
      </c>
      <c r="H61" s="83">
        <v>46078</v>
      </c>
      <c r="I61" s="84">
        <v>3.47</v>
      </c>
      <c r="J61" s="84">
        <v>21.2</v>
      </c>
      <c r="K61" s="84"/>
      <c r="L61" s="85">
        <v>6.84</v>
      </c>
      <c r="M61" s="86">
        <f t="shared" si="0"/>
        <v>3.3515999999999999</v>
      </c>
      <c r="N61" s="84">
        <f t="shared" si="2"/>
        <v>5.127948</v>
      </c>
      <c r="O61" s="85">
        <v>358.7</v>
      </c>
      <c r="P61" s="85">
        <v>200</v>
      </c>
      <c r="Q61" s="84">
        <f t="shared" si="11"/>
        <v>1.7934999999999999</v>
      </c>
      <c r="R61" t="e">
        <f t="shared" si="4"/>
        <v>#N/A</v>
      </c>
      <c r="U61" s="111"/>
      <c r="V61" s="111"/>
      <c r="W61" s="111"/>
      <c r="X61" s="115">
        <v>46111</v>
      </c>
      <c r="Y61" s="113"/>
    </row>
    <row r="62" spans="1:25" ht="14.4" x14ac:dyDescent="0.3">
      <c r="A62" s="81" t="s">
        <v>112</v>
      </c>
      <c r="B62" s="81" t="s">
        <v>51</v>
      </c>
      <c r="C62" s="81" t="s">
        <v>104</v>
      </c>
      <c r="D62" s="82" t="s">
        <v>105</v>
      </c>
      <c r="E62" s="82">
        <v>93</v>
      </c>
      <c r="F62" s="82" t="s">
        <v>106</v>
      </c>
      <c r="G62" s="82" t="str">
        <f t="shared" si="1"/>
        <v>7</v>
      </c>
      <c r="H62" s="83">
        <v>46085</v>
      </c>
      <c r="I62" s="84">
        <v>3.59</v>
      </c>
      <c r="J62" s="84">
        <v>22.1</v>
      </c>
      <c r="K62" s="84"/>
      <c r="L62" s="85">
        <v>5.69</v>
      </c>
      <c r="M62" s="86">
        <f t="shared" si="0"/>
        <v>2.7881</v>
      </c>
      <c r="N62" s="84">
        <f t="shared" si="2"/>
        <v>4.2657930000000004</v>
      </c>
      <c r="O62" s="85">
        <v>397.2</v>
      </c>
      <c r="P62" s="85">
        <v>200</v>
      </c>
      <c r="Q62" s="84">
        <f t="shared" si="11"/>
        <v>1.986</v>
      </c>
      <c r="R62" t="e">
        <f t="shared" si="4"/>
        <v>#N/A</v>
      </c>
      <c r="U62" s="110"/>
      <c r="V62" s="110"/>
      <c r="W62" s="110"/>
      <c r="X62" s="116"/>
    </row>
    <row r="63" spans="1:25" ht="14.4" x14ac:dyDescent="0.3">
      <c r="A63" s="81" t="s">
        <v>113</v>
      </c>
      <c r="B63" s="81" t="s">
        <v>51</v>
      </c>
      <c r="C63" s="81" t="s">
        <v>104</v>
      </c>
      <c r="D63" s="82" t="s">
        <v>105</v>
      </c>
      <c r="E63" s="82">
        <v>93</v>
      </c>
      <c r="F63" s="82" t="s">
        <v>106</v>
      </c>
      <c r="G63" s="82" t="str">
        <f t="shared" si="1"/>
        <v>8</v>
      </c>
      <c r="H63" s="83">
        <v>46092</v>
      </c>
      <c r="I63" s="84">
        <v>3.63</v>
      </c>
      <c r="J63" s="84">
        <v>22.2</v>
      </c>
      <c r="K63" s="84">
        <v>1</v>
      </c>
      <c r="L63" s="85">
        <v>5.51</v>
      </c>
      <c r="M63" s="86">
        <f t="shared" si="0"/>
        <v>2.6999</v>
      </c>
      <c r="N63" s="84">
        <f t="shared" si="2"/>
        <v>4.1308470000000002</v>
      </c>
      <c r="O63" s="85">
        <v>365.4</v>
      </c>
      <c r="P63" s="85">
        <v>200</v>
      </c>
      <c r="Q63" s="84">
        <f t="shared" si="11"/>
        <v>1.827</v>
      </c>
      <c r="R63">
        <f t="shared" si="4"/>
        <v>17667</v>
      </c>
    </row>
    <row r="64" spans="1:25" ht="14.4" x14ac:dyDescent="0.3">
      <c r="A64" s="81" t="s">
        <v>114</v>
      </c>
      <c r="B64" s="81" t="s">
        <v>51</v>
      </c>
      <c r="C64" s="81" t="s">
        <v>104</v>
      </c>
      <c r="D64" s="82" t="s">
        <v>105</v>
      </c>
      <c r="E64" s="82">
        <v>93</v>
      </c>
      <c r="F64" s="82" t="s">
        <v>106</v>
      </c>
      <c r="G64" s="82" t="str">
        <f t="shared" si="1"/>
        <v>9</v>
      </c>
      <c r="H64" s="83">
        <v>46099</v>
      </c>
      <c r="I64" s="84">
        <v>3.61</v>
      </c>
      <c r="J64" s="84">
        <v>22.5</v>
      </c>
      <c r="K64" s="84"/>
      <c r="L64" s="85">
        <v>5.41</v>
      </c>
      <c r="M64" s="86">
        <f t="shared" si="0"/>
        <v>2.6509</v>
      </c>
      <c r="N64" s="84">
        <f t="shared" si="2"/>
        <v>4.0558769999999997</v>
      </c>
      <c r="O64" s="85">
        <v>343.6</v>
      </c>
      <c r="P64" s="85">
        <v>200</v>
      </c>
      <c r="Q64" s="84">
        <f t="shared" si="11"/>
        <v>1.7180000000000002</v>
      </c>
      <c r="R64" t="e">
        <f t="shared" si="4"/>
        <v>#N/A</v>
      </c>
    </row>
    <row r="65" spans="1:18" ht="14.4" x14ac:dyDescent="0.3">
      <c r="A65" s="81" t="s">
        <v>115</v>
      </c>
      <c r="B65" s="81" t="s">
        <v>51</v>
      </c>
      <c r="C65" s="81" t="s">
        <v>104</v>
      </c>
      <c r="D65" s="82" t="s">
        <v>105</v>
      </c>
      <c r="E65" s="82">
        <v>93</v>
      </c>
      <c r="F65" s="82" t="s">
        <v>106</v>
      </c>
      <c r="G65" s="82">
        <v>10</v>
      </c>
      <c r="H65" s="83">
        <v>46107</v>
      </c>
      <c r="I65" s="84">
        <v>3.6</v>
      </c>
      <c r="J65" s="84">
        <v>23.8</v>
      </c>
      <c r="K65" s="84">
        <v>2</v>
      </c>
      <c r="L65" s="85">
        <v>4.5999999999999996</v>
      </c>
      <c r="M65" s="86">
        <f t="shared" si="0"/>
        <v>2.254</v>
      </c>
      <c r="N65" s="84">
        <f t="shared" si="2"/>
        <v>3.44862</v>
      </c>
      <c r="O65" s="85">
        <v>368.6</v>
      </c>
      <c r="P65" s="85">
        <v>200</v>
      </c>
      <c r="Q65" s="84">
        <f t="shared" si="11"/>
        <v>1.8430000000000002</v>
      </c>
      <c r="R65">
        <f t="shared" si="4"/>
        <v>14967</v>
      </c>
    </row>
    <row r="66" spans="1:18" ht="14.4" x14ac:dyDescent="0.3">
      <c r="A66" s="81" t="s">
        <v>116</v>
      </c>
      <c r="B66" s="81" t="s">
        <v>51</v>
      </c>
      <c r="C66" s="81" t="s">
        <v>104</v>
      </c>
      <c r="D66" s="82" t="s">
        <v>105</v>
      </c>
      <c r="E66" s="82">
        <v>93</v>
      </c>
      <c r="F66" s="82" t="s">
        <v>106</v>
      </c>
      <c r="G66" s="82">
        <v>11</v>
      </c>
      <c r="H66" s="83">
        <v>46113</v>
      </c>
      <c r="I66" s="84">
        <v>3.75</v>
      </c>
      <c r="J66" s="84">
        <v>23.8</v>
      </c>
      <c r="K66" s="84">
        <v>3</v>
      </c>
      <c r="L66" s="85">
        <v>4.3099999999999996</v>
      </c>
      <c r="M66" s="86">
        <f t="shared" si="0"/>
        <v>2.1118999999999999</v>
      </c>
      <c r="N66" s="84">
        <f t="shared" si="2"/>
        <v>3.2312069999999999</v>
      </c>
      <c r="O66" s="85">
        <v>414.2</v>
      </c>
      <c r="P66" s="85">
        <v>200</v>
      </c>
      <c r="Q66" s="84">
        <f t="shared" si="11"/>
        <v>2.0709999999999997</v>
      </c>
      <c r="R66">
        <f t="shared" ref="R66:R127" si="24">IF(OR(K66="",VALUE(K66)&gt;5),NA(),CHOOSE(VALUE(K66),17667,14967,15967,16975,14561))</f>
        <v>15967</v>
      </c>
    </row>
    <row r="67" spans="1:18" ht="14.4" x14ac:dyDescent="0.3">
      <c r="A67" s="81" t="s">
        <v>117</v>
      </c>
      <c r="B67" s="81" t="s">
        <v>51</v>
      </c>
      <c r="C67" s="81" t="s">
        <v>104</v>
      </c>
      <c r="D67" s="82" t="s">
        <v>105</v>
      </c>
      <c r="E67" s="82">
        <v>93</v>
      </c>
      <c r="F67" s="82" t="s">
        <v>106</v>
      </c>
      <c r="G67" s="82">
        <v>12</v>
      </c>
      <c r="H67" s="83">
        <v>46120</v>
      </c>
      <c r="I67" s="84">
        <v>3.64</v>
      </c>
      <c r="J67" s="84">
        <v>23.8</v>
      </c>
      <c r="K67" s="84"/>
      <c r="L67" s="85">
        <v>5.74</v>
      </c>
      <c r="M67" s="86">
        <f t="shared" ref="M67" si="25">L67*0.49</f>
        <v>2.8126000000000002</v>
      </c>
      <c r="N67" s="84">
        <f t="shared" ref="N67" si="26">M67*1.53</f>
        <v>4.3032780000000006</v>
      </c>
      <c r="O67" s="85">
        <v>337.3</v>
      </c>
      <c r="P67" s="85">
        <v>200</v>
      </c>
      <c r="Q67" s="84">
        <f t="shared" si="11"/>
        <v>1.6865000000000001</v>
      </c>
      <c r="R67" t="e">
        <f t="shared" si="24"/>
        <v>#N/A</v>
      </c>
    </row>
    <row r="68" spans="1:18" ht="14.4" x14ac:dyDescent="0.3">
      <c r="A68" s="81" t="s">
        <v>118</v>
      </c>
      <c r="B68" s="81" t="s">
        <v>51</v>
      </c>
      <c r="C68" s="81" t="s">
        <v>104</v>
      </c>
      <c r="D68" s="82" t="s">
        <v>105</v>
      </c>
      <c r="E68" s="82">
        <v>93</v>
      </c>
      <c r="F68" s="82" t="s">
        <v>106</v>
      </c>
      <c r="G68" s="82">
        <v>13</v>
      </c>
      <c r="H68" s="83">
        <v>46127</v>
      </c>
      <c r="I68" s="84">
        <v>3.34</v>
      </c>
      <c r="J68" s="84">
        <v>22.8</v>
      </c>
      <c r="K68" s="84">
        <v>4</v>
      </c>
      <c r="L68" s="85">
        <v>8.18</v>
      </c>
      <c r="M68" s="86">
        <f t="shared" ref="M68:M69" si="27">L68*0.49</f>
        <v>4.0081999999999995</v>
      </c>
      <c r="N68" s="84">
        <f t="shared" ref="N68:N69" si="28">M68*1.53</f>
        <v>6.1325459999999996</v>
      </c>
      <c r="O68" s="85">
        <v>262.2</v>
      </c>
      <c r="P68" s="85">
        <v>200</v>
      </c>
      <c r="Q68" s="84">
        <f t="shared" si="11"/>
        <v>1.3109999999999999</v>
      </c>
      <c r="R68">
        <f t="shared" si="24"/>
        <v>16975</v>
      </c>
    </row>
    <row r="69" spans="1:18" ht="14.4" x14ac:dyDescent="0.3">
      <c r="A69" s="81" t="s">
        <v>119</v>
      </c>
      <c r="B69" s="81" t="s">
        <v>51</v>
      </c>
      <c r="C69" s="81" t="s">
        <v>104</v>
      </c>
      <c r="D69" s="82" t="s">
        <v>105</v>
      </c>
      <c r="E69" s="82">
        <v>93</v>
      </c>
      <c r="F69" s="82" t="s">
        <v>106</v>
      </c>
      <c r="G69" s="82">
        <v>14</v>
      </c>
      <c r="H69" s="83">
        <v>46134</v>
      </c>
      <c r="I69" s="84">
        <v>3.83</v>
      </c>
      <c r="J69" s="84">
        <v>25.7</v>
      </c>
      <c r="K69" s="84"/>
      <c r="L69" s="85">
        <v>4.24</v>
      </c>
      <c r="M69" s="86">
        <f t="shared" si="27"/>
        <v>2.0775999999999999</v>
      </c>
      <c r="N69" s="84">
        <f t="shared" si="28"/>
        <v>3.178728</v>
      </c>
      <c r="O69" s="85">
        <v>354.1</v>
      </c>
      <c r="P69" s="85">
        <v>200</v>
      </c>
      <c r="Q69" s="84">
        <f t="shared" si="11"/>
        <v>1.7705000000000002</v>
      </c>
      <c r="R69" t="e">
        <f t="shared" si="24"/>
        <v>#N/A</v>
      </c>
    </row>
    <row r="70" spans="1:18" ht="14.4" x14ac:dyDescent="0.3">
      <c r="A70" s="81" t="s">
        <v>120</v>
      </c>
      <c r="B70" s="81" t="s">
        <v>51</v>
      </c>
      <c r="C70" s="81" t="s">
        <v>104</v>
      </c>
      <c r="D70" s="82" t="s">
        <v>105</v>
      </c>
      <c r="E70" s="82">
        <v>93</v>
      </c>
      <c r="F70" s="82" t="s">
        <v>106</v>
      </c>
      <c r="G70" s="82">
        <v>15</v>
      </c>
      <c r="H70" s="83">
        <v>46141</v>
      </c>
      <c r="I70" s="84">
        <v>3.32</v>
      </c>
      <c r="J70" s="84">
        <v>23.3</v>
      </c>
      <c r="K70" s="84">
        <v>5</v>
      </c>
      <c r="L70" s="85">
        <v>8.17</v>
      </c>
      <c r="M70" s="86">
        <f t="shared" ref="M70" si="29">L70*0.49</f>
        <v>4.0033000000000003</v>
      </c>
      <c r="N70" s="84">
        <f t="shared" ref="N70" si="30">M70*1.53</f>
        <v>6.1250490000000006</v>
      </c>
      <c r="O70" s="85">
        <v>270.10000000000002</v>
      </c>
      <c r="P70" s="85">
        <v>200</v>
      </c>
      <c r="Q70" s="84">
        <f t="shared" ref="Q70" si="31">O70/P70</f>
        <v>1.3505</v>
      </c>
      <c r="R70">
        <f t="shared" si="24"/>
        <v>14561</v>
      </c>
    </row>
    <row r="71" spans="1:18" ht="14.4" x14ac:dyDescent="0.3">
      <c r="A71" s="81" t="s">
        <v>121</v>
      </c>
      <c r="B71" s="81" t="s">
        <v>51</v>
      </c>
      <c r="C71" s="81" t="s">
        <v>72</v>
      </c>
      <c r="D71" s="82" t="s">
        <v>122</v>
      </c>
      <c r="E71" s="82">
        <v>42</v>
      </c>
      <c r="F71" s="82">
        <v>30</v>
      </c>
      <c r="G71" s="82" t="str">
        <f t="shared" si="1"/>
        <v>1</v>
      </c>
      <c r="H71" s="83">
        <v>46043</v>
      </c>
      <c r="I71" s="84">
        <v>3.33</v>
      </c>
      <c r="J71" s="84">
        <v>15.2</v>
      </c>
      <c r="K71" s="84"/>
      <c r="L71" s="85">
        <v>12.56</v>
      </c>
      <c r="M71" s="86">
        <f t="shared" si="0"/>
        <v>6.1543999999999999</v>
      </c>
      <c r="N71" s="84">
        <f t="shared" si="2"/>
        <v>9.4162320000000008</v>
      </c>
      <c r="O71" s="85">
        <v>229.65</v>
      </c>
      <c r="P71" s="85">
        <v>200</v>
      </c>
      <c r="Q71" s="84">
        <f t="shared" si="11"/>
        <v>1.14825</v>
      </c>
      <c r="R71" t="e">
        <f t="shared" si="24"/>
        <v>#N/A</v>
      </c>
    </row>
    <row r="72" spans="1:18" ht="14.4" x14ac:dyDescent="0.3">
      <c r="A72" s="81" t="s">
        <v>123</v>
      </c>
      <c r="B72" s="81" t="s">
        <v>51</v>
      </c>
      <c r="C72" s="81" t="s">
        <v>72</v>
      </c>
      <c r="D72" s="82" t="s">
        <v>122</v>
      </c>
      <c r="E72" s="82">
        <v>42</v>
      </c>
      <c r="F72" s="82">
        <v>30</v>
      </c>
      <c r="G72" s="82" t="str">
        <f t="shared" si="1"/>
        <v>2</v>
      </c>
      <c r="H72" s="83">
        <v>46049</v>
      </c>
      <c r="I72" s="84">
        <v>3.18</v>
      </c>
      <c r="J72" s="84">
        <v>15</v>
      </c>
      <c r="K72" s="84"/>
      <c r="L72" s="85">
        <v>17.04</v>
      </c>
      <c r="M72" s="86">
        <f t="shared" si="0"/>
        <v>8.3495999999999988</v>
      </c>
      <c r="N72" s="84">
        <f t="shared" si="2"/>
        <v>12.774887999999999</v>
      </c>
      <c r="O72" s="85">
        <v>275.39</v>
      </c>
      <c r="P72" s="85">
        <v>200</v>
      </c>
      <c r="Q72" s="84">
        <f t="shared" si="11"/>
        <v>1.3769499999999999</v>
      </c>
      <c r="R72" t="e">
        <f t="shared" si="24"/>
        <v>#N/A</v>
      </c>
    </row>
    <row r="73" spans="1:18" ht="14.4" x14ac:dyDescent="0.3">
      <c r="A73" s="81" t="s">
        <v>124</v>
      </c>
      <c r="B73" s="81" t="s">
        <v>51</v>
      </c>
      <c r="C73" s="81" t="s">
        <v>72</v>
      </c>
      <c r="D73" s="82" t="s">
        <v>122</v>
      </c>
      <c r="E73" s="82">
        <v>42</v>
      </c>
      <c r="F73" s="82">
        <v>30</v>
      </c>
      <c r="G73" s="82" t="str">
        <f t="shared" si="1"/>
        <v>3</v>
      </c>
      <c r="H73" s="83">
        <v>46056</v>
      </c>
      <c r="I73" s="84">
        <v>3.28</v>
      </c>
      <c r="J73" s="84">
        <v>16.3</v>
      </c>
      <c r="K73" s="84"/>
      <c r="L73" s="85">
        <v>11.66</v>
      </c>
      <c r="M73" s="86">
        <f t="shared" si="0"/>
        <v>5.7134</v>
      </c>
      <c r="N73" s="84">
        <f t="shared" si="2"/>
        <v>8.7415020000000005</v>
      </c>
      <c r="O73" s="85">
        <v>327.58999999999997</v>
      </c>
      <c r="P73" s="85">
        <v>200</v>
      </c>
      <c r="Q73" s="84">
        <f t="shared" si="11"/>
        <v>1.6379499999999998</v>
      </c>
      <c r="R73" t="e">
        <f t="shared" si="24"/>
        <v>#N/A</v>
      </c>
    </row>
    <row r="74" spans="1:18" ht="14.4" x14ac:dyDescent="0.3">
      <c r="A74" s="81" t="s">
        <v>125</v>
      </c>
      <c r="B74" s="81" t="s">
        <v>51</v>
      </c>
      <c r="C74" s="81" t="s">
        <v>72</v>
      </c>
      <c r="D74" s="82" t="s">
        <v>122</v>
      </c>
      <c r="E74" s="82">
        <v>42</v>
      </c>
      <c r="F74" s="82">
        <v>30</v>
      </c>
      <c r="G74" s="82" t="str">
        <f t="shared" si="1"/>
        <v>4</v>
      </c>
      <c r="H74" s="83">
        <v>46063</v>
      </c>
      <c r="I74" s="84">
        <v>3.53</v>
      </c>
      <c r="J74" s="84">
        <v>18</v>
      </c>
      <c r="K74" s="84"/>
      <c r="L74" s="85">
        <v>8.76</v>
      </c>
      <c r="M74" s="86">
        <f t="shared" si="0"/>
        <v>4.2923999999999998</v>
      </c>
      <c r="N74" s="84">
        <f t="shared" si="2"/>
        <v>6.5673719999999998</v>
      </c>
      <c r="O74" s="85">
        <v>344.6</v>
      </c>
      <c r="P74" s="85">
        <v>200</v>
      </c>
      <c r="Q74" s="84">
        <f t="shared" si="11"/>
        <v>1.7230000000000001</v>
      </c>
      <c r="R74" t="e">
        <f t="shared" si="24"/>
        <v>#N/A</v>
      </c>
    </row>
    <row r="75" spans="1:18" ht="14.4" x14ac:dyDescent="0.3">
      <c r="A75" s="81" t="s">
        <v>126</v>
      </c>
      <c r="B75" s="81" t="s">
        <v>51</v>
      </c>
      <c r="C75" s="81" t="s">
        <v>72</v>
      </c>
      <c r="D75" s="82" t="s">
        <v>122</v>
      </c>
      <c r="E75" s="82">
        <v>42</v>
      </c>
      <c r="F75" s="82">
        <v>30</v>
      </c>
      <c r="G75" s="82" t="str">
        <f t="shared" si="1"/>
        <v>5</v>
      </c>
      <c r="H75" s="83">
        <v>46070</v>
      </c>
      <c r="I75" s="84">
        <v>3.57</v>
      </c>
      <c r="J75" s="84">
        <v>19.600000000000001</v>
      </c>
      <c r="K75" s="84"/>
      <c r="L75" s="85">
        <v>7.12</v>
      </c>
      <c r="M75" s="86">
        <f t="shared" si="0"/>
        <v>3.4887999999999999</v>
      </c>
      <c r="N75" s="84">
        <f t="shared" si="2"/>
        <v>5.3378639999999997</v>
      </c>
      <c r="O75" s="85">
        <v>354.8</v>
      </c>
      <c r="P75" s="85">
        <v>200</v>
      </c>
      <c r="Q75" s="84">
        <f t="shared" si="11"/>
        <v>1.774</v>
      </c>
      <c r="R75" t="e">
        <f t="shared" si="24"/>
        <v>#N/A</v>
      </c>
    </row>
    <row r="76" spans="1:18" ht="14.4" x14ac:dyDescent="0.3">
      <c r="A76" s="81" t="s">
        <v>127</v>
      </c>
      <c r="B76" s="81" t="s">
        <v>51</v>
      </c>
      <c r="C76" s="81" t="s">
        <v>72</v>
      </c>
      <c r="D76" s="82" t="s">
        <v>122</v>
      </c>
      <c r="E76" s="82">
        <v>42</v>
      </c>
      <c r="F76" s="82">
        <v>30</v>
      </c>
      <c r="G76" s="82" t="str">
        <f t="shared" si="1"/>
        <v>6</v>
      </c>
      <c r="H76" s="83">
        <v>46077</v>
      </c>
      <c r="I76" s="84">
        <v>3.6</v>
      </c>
      <c r="J76" s="84">
        <v>21</v>
      </c>
      <c r="K76" s="84"/>
      <c r="L76" s="85">
        <v>6.6</v>
      </c>
      <c r="M76" s="86">
        <f t="shared" si="0"/>
        <v>3.234</v>
      </c>
      <c r="N76" s="84">
        <f t="shared" si="2"/>
        <v>4.9480199999999996</v>
      </c>
      <c r="O76" s="85">
        <v>348.4</v>
      </c>
      <c r="P76" s="85">
        <v>200</v>
      </c>
      <c r="Q76" s="84">
        <f t="shared" si="11"/>
        <v>1.742</v>
      </c>
      <c r="R76" t="e">
        <f t="shared" si="24"/>
        <v>#N/A</v>
      </c>
    </row>
    <row r="77" spans="1:18" ht="14.4" x14ac:dyDescent="0.3">
      <c r="A77" s="81" t="s">
        <v>128</v>
      </c>
      <c r="B77" s="81" t="s">
        <v>51</v>
      </c>
      <c r="C77" s="81" t="s">
        <v>72</v>
      </c>
      <c r="D77" s="82" t="s">
        <v>122</v>
      </c>
      <c r="E77" s="82">
        <v>42</v>
      </c>
      <c r="F77" s="82">
        <v>30</v>
      </c>
      <c r="G77" s="82" t="str">
        <f t="shared" si="1"/>
        <v>7</v>
      </c>
      <c r="H77" s="83">
        <v>46084</v>
      </c>
      <c r="I77" s="84">
        <v>3.69</v>
      </c>
      <c r="J77" s="84">
        <v>22</v>
      </c>
      <c r="K77" s="84"/>
      <c r="L77" s="85">
        <v>5.85</v>
      </c>
      <c r="M77" s="86">
        <f t="shared" si="0"/>
        <v>2.8664999999999998</v>
      </c>
      <c r="N77" s="84">
        <f t="shared" si="2"/>
        <v>4.385745</v>
      </c>
      <c r="O77" s="85">
        <v>362.8</v>
      </c>
      <c r="P77" s="85">
        <v>200</v>
      </c>
      <c r="Q77" s="84">
        <f t="shared" si="11"/>
        <v>1.8140000000000001</v>
      </c>
      <c r="R77" t="e">
        <f t="shared" si="24"/>
        <v>#N/A</v>
      </c>
    </row>
    <row r="78" spans="1:18" ht="14.4" x14ac:dyDescent="0.3">
      <c r="A78" s="81" t="s">
        <v>129</v>
      </c>
      <c r="B78" s="81" t="s">
        <v>51</v>
      </c>
      <c r="C78" s="81" t="s">
        <v>72</v>
      </c>
      <c r="D78" s="82" t="s">
        <v>122</v>
      </c>
      <c r="E78" s="82">
        <v>42</v>
      </c>
      <c r="F78" s="82">
        <v>30</v>
      </c>
      <c r="G78" s="82" t="str">
        <f t="shared" si="1"/>
        <v>8</v>
      </c>
      <c r="H78" s="83">
        <v>46091</v>
      </c>
      <c r="I78" s="84">
        <v>3.7</v>
      </c>
      <c r="J78" s="84">
        <v>23.1</v>
      </c>
      <c r="K78" s="84"/>
      <c r="L78" s="85">
        <v>5.0199999999999996</v>
      </c>
      <c r="M78" s="86">
        <f t="shared" si="0"/>
        <v>2.4597999999999995</v>
      </c>
      <c r="N78" s="84">
        <f t="shared" si="2"/>
        <v>3.7634939999999992</v>
      </c>
      <c r="O78" s="85">
        <v>335.2</v>
      </c>
      <c r="P78" s="85">
        <v>200</v>
      </c>
      <c r="Q78" s="84">
        <f t="shared" si="11"/>
        <v>1.6759999999999999</v>
      </c>
      <c r="R78" t="e">
        <f t="shared" si="24"/>
        <v>#N/A</v>
      </c>
    </row>
    <row r="79" spans="1:18" ht="14.4" x14ac:dyDescent="0.3">
      <c r="A79" s="81" t="s">
        <v>130</v>
      </c>
      <c r="B79" s="81" t="s">
        <v>51</v>
      </c>
      <c r="C79" s="81" t="s">
        <v>72</v>
      </c>
      <c r="D79" s="82" t="s">
        <v>122</v>
      </c>
      <c r="E79" s="82">
        <v>42</v>
      </c>
      <c r="F79" s="82">
        <v>30</v>
      </c>
      <c r="G79" s="82" t="str">
        <f t="shared" si="1"/>
        <v>9</v>
      </c>
      <c r="H79" s="83">
        <v>46098</v>
      </c>
      <c r="I79" s="84">
        <v>3.78</v>
      </c>
      <c r="J79" s="84">
        <v>22.8</v>
      </c>
      <c r="K79" s="84"/>
      <c r="L79" s="85">
        <v>4.46</v>
      </c>
      <c r="M79" s="86">
        <f t="shared" si="0"/>
        <v>2.1854</v>
      </c>
      <c r="N79" s="84">
        <f t="shared" si="2"/>
        <v>3.3436620000000001</v>
      </c>
      <c r="O79" s="85">
        <v>366</v>
      </c>
      <c r="P79" s="85">
        <v>200</v>
      </c>
      <c r="Q79" s="84">
        <f t="shared" si="11"/>
        <v>1.83</v>
      </c>
      <c r="R79" t="e">
        <f t="shared" si="24"/>
        <v>#N/A</v>
      </c>
    </row>
    <row r="80" spans="1:18" ht="14.4" x14ac:dyDescent="0.3">
      <c r="A80" s="81" t="s">
        <v>131</v>
      </c>
      <c r="B80" s="81" t="s">
        <v>51</v>
      </c>
      <c r="C80" s="81" t="s">
        <v>72</v>
      </c>
      <c r="D80" s="82" t="s">
        <v>122</v>
      </c>
      <c r="E80" s="82">
        <v>42</v>
      </c>
      <c r="F80" s="82">
        <v>30</v>
      </c>
      <c r="G80" s="82">
        <v>10</v>
      </c>
      <c r="H80" s="83" t="s">
        <v>132</v>
      </c>
      <c r="I80" s="84">
        <v>3.78</v>
      </c>
      <c r="J80" s="84">
        <v>23.2</v>
      </c>
      <c r="K80" s="84"/>
      <c r="L80" s="85">
        <v>4.41</v>
      </c>
      <c r="M80" s="86">
        <f t="shared" si="0"/>
        <v>2.1608999999999998</v>
      </c>
      <c r="N80" s="84">
        <f t="shared" si="2"/>
        <v>3.3061769999999999</v>
      </c>
      <c r="O80" s="85">
        <v>363</v>
      </c>
      <c r="P80" s="85">
        <v>200</v>
      </c>
      <c r="Q80" s="84">
        <f t="shared" si="11"/>
        <v>1.8149999999999999</v>
      </c>
      <c r="R80" t="e">
        <f t="shared" si="24"/>
        <v>#N/A</v>
      </c>
    </row>
    <row r="81" spans="1:18" ht="14.4" x14ac:dyDescent="0.3">
      <c r="A81" s="81" t="s">
        <v>133</v>
      </c>
      <c r="B81" s="81" t="s">
        <v>51</v>
      </c>
      <c r="C81" s="81" t="s">
        <v>72</v>
      </c>
      <c r="D81" s="82" t="s">
        <v>122</v>
      </c>
      <c r="E81" s="82">
        <v>42</v>
      </c>
      <c r="F81" s="82">
        <v>30</v>
      </c>
      <c r="G81" s="82">
        <v>11</v>
      </c>
      <c r="H81" s="83">
        <v>46112</v>
      </c>
      <c r="I81" s="84">
        <v>3.9</v>
      </c>
      <c r="J81" s="84">
        <v>24.3</v>
      </c>
      <c r="K81" s="84"/>
      <c r="L81" s="85">
        <v>3.95</v>
      </c>
      <c r="M81" s="86">
        <f t="shared" ref="M81:M115" si="32">L81*0.49</f>
        <v>1.9355</v>
      </c>
      <c r="N81" s="84">
        <f t="shared" si="2"/>
        <v>2.9613149999999999</v>
      </c>
      <c r="O81" s="85">
        <v>327.60000000000002</v>
      </c>
      <c r="P81" s="85">
        <v>200</v>
      </c>
      <c r="Q81" s="84">
        <f t="shared" si="11"/>
        <v>1.6380000000000001</v>
      </c>
      <c r="R81" t="e">
        <f t="shared" si="24"/>
        <v>#N/A</v>
      </c>
    </row>
    <row r="82" spans="1:18" ht="14.4" x14ac:dyDescent="0.3">
      <c r="A82" s="81" t="s">
        <v>134</v>
      </c>
      <c r="B82" s="81" t="s">
        <v>51</v>
      </c>
      <c r="C82" s="81" t="s">
        <v>72</v>
      </c>
      <c r="D82" s="82" t="s">
        <v>122</v>
      </c>
      <c r="E82" s="82">
        <v>42</v>
      </c>
      <c r="F82" s="82">
        <v>30</v>
      </c>
      <c r="G82" s="82">
        <v>12</v>
      </c>
      <c r="H82" s="83">
        <v>46119</v>
      </c>
      <c r="I82" s="84">
        <v>3.92</v>
      </c>
      <c r="J82" s="84">
        <v>24.7</v>
      </c>
      <c r="K82" s="84"/>
      <c r="L82" s="85">
        <v>3.88</v>
      </c>
      <c r="M82" s="86">
        <f t="shared" ref="M82" si="33">L82*0.49</f>
        <v>1.9012</v>
      </c>
      <c r="N82" s="84">
        <f t="shared" ref="N82" si="34">M82*1.53</f>
        <v>2.908836</v>
      </c>
      <c r="O82" s="85">
        <v>303</v>
      </c>
      <c r="P82" s="85">
        <v>200</v>
      </c>
      <c r="Q82" s="84">
        <f t="shared" si="11"/>
        <v>1.5149999999999999</v>
      </c>
      <c r="R82" t="e">
        <f t="shared" si="24"/>
        <v>#N/A</v>
      </c>
    </row>
    <row r="83" spans="1:18" ht="14.4" x14ac:dyDescent="0.3">
      <c r="A83" s="81" t="s">
        <v>135</v>
      </c>
      <c r="B83" s="81" t="s">
        <v>51</v>
      </c>
      <c r="C83" s="81" t="s">
        <v>72</v>
      </c>
      <c r="D83" s="82" t="s">
        <v>122</v>
      </c>
      <c r="E83" s="82">
        <v>42</v>
      </c>
      <c r="F83" s="82">
        <v>30</v>
      </c>
      <c r="G83" s="82">
        <v>13</v>
      </c>
      <c r="H83" s="83">
        <v>46126</v>
      </c>
      <c r="I83" s="84">
        <v>4.18</v>
      </c>
      <c r="J83" s="84">
        <v>25.8</v>
      </c>
      <c r="K83" s="84"/>
      <c r="L83" s="85">
        <v>3.86</v>
      </c>
      <c r="M83" s="86">
        <f t="shared" ref="M83" si="35">L83*0.49</f>
        <v>1.8914</v>
      </c>
      <c r="N83" s="84">
        <f t="shared" ref="N83" si="36">M83*1.53</f>
        <v>2.8938419999999998</v>
      </c>
      <c r="O83" s="85">
        <v>307.7</v>
      </c>
      <c r="P83" s="85">
        <v>200</v>
      </c>
      <c r="Q83" s="84">
        <f t="shared" si="11"/>
        <v>1.5385</v>
      </c>
      <c r="R83" t="e">
        <f t="shared" si="24"/>
        <v>#N/A</v>
      </c>
    </row>
    <row r="84" spans="1:18" ht="14.4" x14ac:dyDescent="0.3">
      <c r="A84" s="81" t="s">
        <v>136</v>
      </c>
      <c r="B84" s="81" t="s">
        <v>51</v>
      </c>
      <c r="C84" s="81" t="s">
        <v>72</v>
      </c>
      <c r="D84" s="82" t="s">
        <v>122</v>
      </c>
      <c r="E84" s="82">
        <v>42</v>
      </c>
      <c r="F84" s="82">
        <v>30</v>
      </c>
      <c r="G84" s="82">
        <v>14</v>
      </c>
      <c r="H84" s="83">
        <v>46132</v>
      </c>
      <c r="I84" s="84">
        <v>3.98</v>
      </c>
      <c r="J84" s="84">
        <v>26.3</v>
      </c>
      <c r="K84" s="84"/>
      <c r="L84" s="85">
        <v>4.0999999999999996</v>
      </c>
      <c r="M84" s="86">
        <f t="shared" ref="M84" si="37">L84*0.49</f>
        <v>2.0089999999999999</v>
      </c>
      <c r="N84" s="84">
        <f t="shared" ref="N84" si="38">M84*1.53</f>
        <v>3.0737700000000001</v>
      </c>
      <c r="O84" s="85">
        <v>310.39999999999998</v>
      </c>
      <c r="P84" s="85">
        <v>200</v>
      </c>
      <c r="Q84" s="84">
        <f t="shared" ref="Q84" si="39">O84/P84</f>
        <v>1.5519999999999998</v>
      </c>
      <c r="R84" t="e">
        <f t="shared" si="24"/>
        <v>#N/A</v>
      </c>
    </row>
    <row r="85" spans="1:18" ht="14.4" x14ac:dyDescent="0.3">
      <c r="A85" s="81" t="s">
        <v>137</v>
      </c>
      <c r="B85" s="81" t="s">
        <v>51</v>
      </c>
      <c r="C85" s="81" t="s">
        <v>72</v>
      </c>
      <c r="D85" s="82" t="s">
        <v>122</v>
      </c>
      <c r="E85" s="82">
        <v>42</v>
      </c>
      <c r="F85" s="82">
        <v>30</v>
      </c>
      <c r="G85" s="82">
        <v>15</v>
      </c>
      <c r="H85" s="83">
        <v>46139</v>
      </c>
      <c r="I85" s="84">
        <v>4.1399999999999997</v>
      </c>
      <c r="J85" s="84">
        <v>27.2</v>
      </c>
      <c r="K85" s="84"/>
      <c r="L85" s="85">
        <v>3.96</v>
      </c>
      <c r="M85" s="86">
        <f t="shared" ref="M85" si="40">L85*0.49</f>
        <v>1.9403999999999999</v>
      </c>
      <c r="N85" s="84">
        <f t="shared" ref="N85" si="41">M85*1.53</f>
        <v>2.9688119999999998</v>
      </c>
      <c r="O85" s="85">
        <v>317</v>
      </c>
      <c r="P85" s="85">
        <v>200</v>
      </c>
      <c r="Q85" s="84">
        <f t="shared" ref="Q85" si="42">O85/P85</f>
        <v>1.585</v>
      </c>
      <c r="R85" t="e">
        <f t="shared" si="24"/>
        <v>#N/A</v>
      </c>
    </row>
    <row r="86" spans="1:18" ht="14.4" x14ac:dyDescent="0.3">
      <c r="A86" s="81" t="s">
        <v>138</v>
      </c>
      <c r="B86" s="81" t="s">
        <v>19</v>
      </c>
      <c r="C86" s="81" t="s">
        <v>139</v>
      </c>
      <c r="D86" s="82" t="s">
        <v>140</v>
      </c>
      <c r="E86" s="82">
        <v>40</v>
      </c>
      <c r="F86" s="82">
        <v>152</v>
      </c>
      <c r="G86" s="82" t="str">
        <f t="shared" ref="G86:G156" si="43">RIGHT(A86,1)</f>
        <v>1</v>
      </c>
      <c r="H86" s="83">
        <v>46044</v>
      </c>
      <c r="I86" s="84">
        <v>2.79</v>
      </c>
      <c r="J86" s="84">
        <v>14.1</v>
      </c>
      <c r="K86" s="84"/>
      <c r="L86" s="85">
        <v>28.1</v>
      </c>
      <c r="M86" s="86">
        <f t="shared" si="32"/>
        <v>13.769</v>
      </c>
      <c r="N86" s="84">
        <f t="shared" ref="N86:N115" si="44">M86*1.53</f>
        <v>21.066570000000002</v>
      </c>
      <c r="O86" s="85">
        <v>207.67</v>
      </c>
      <c r="P86" s="85">
        <v>200</v>
      </c>
      <c r="Q86" s="84">
        <f t="shared" si="11"/>
        <v>1.0383499999999999</v>
      </c>
      <c r="R86" t="e">
        <f t="shared" si="24"/>
        <v>#N/A</v>
      </c>
    </row>
    <row r="87" spans="1:18" ht="14.4" x14ac:dyDescent="0.3">
      <c r="A87" s="81" t="s">
        <v>141</v>
      </c>
      <c r="B87" s="81" t="s">
        <v>19</v>
      </c>
      <c r="C87" s="81" t="s">
        <v>139</v>
      </c>
      <c r="D87" s="82" t="s">
        <v>140</v>
      </c>
      <c r="E87" s="82">
        <v>40</v>
      </c>
      <c r="F87" s="82">
        <v>152</v>
      </c>
      <c r="G87" s="82" t="str">
        <f t="shared" si="43"/>
        <v>2</v>
      </c>
      <c r="H87" s="83">
        <v>46050</v>
      </c>
      <c r="I87" s="84">
        <v>2.85</v>
      </c>
      <c r="J87" s="84">
        <v>15.7</v>
      </c>
      <c r="K87" s="84"/>
      <c r="L87" s="85">
        <v>26.82</v>
      </c>
      <c r="M87" s="86">
        <f t="shared" si="32"/>
        <v>13.1418</v>
      </c>
      <c r="N87" s="84">
        <f t="shared" si="44"/>
        <v>20.106954000000002</v>
      </c>
      <c r="O87" s="85">
        <v>235.12</v>
      </c>
      <c r="P87" s="85">
        <v>200</v>
      </c>
      <c r="Q87" s="84">
        <f t="shared" si="11"/>
        <v>1.1756</v>
      </c>
      <c r="R87" t="e">
        <f t="shared" si="24"/>
        <v>#N/A</v>
      </c>
    </row>
    <row r="88" spans="1:18" ht="14.4" x14ac:dyDescent="0.3">
      <c r="A88" s="81" t="s">
        <v>142</v>
      </c>
      <c r="B88" s="81" t="s">
        <v>19</v>
      </c>
      <c r="C88" s="81" t="s">
        <v>139</v>
      </c>
      <c r="D88" s="82" t="s">
        <v>140</v>
      </c>
      <c r="E88" s="82">
        <v>40</v>
      </c>
      <c r="F88" s="82">
        <v>152</v>
      </c>
      <c r="G88" s="82" t="str">
        <f t="shared" si="43"/>
        <v>3</v>
      </c>
      <c r="H88" s="83">
        <v>46058</v>
      </c>
      <c r="I88" s="84">
        <v>2.95</v>
      </c>
      <c r="J88" s="84">
        <v>17.5</v>
      </c>
      <c r="K88" s="84"/>
      <c r="L88" s="85">
        <v>20.52</v>
      </c>
      <c r="M88" s="86">
        <f t="shared" si="32"/>
        <v>10.0548</v>
      </c>
      <c r="N88" s="84">
        <f t="shared" si="44"/>
        <v>15.383844</v>
      </c>
      <c r="O88" s="85">
        <v>258.10000000000002</v>
      </c>
      <c r="P88" s="85">
        <v>200</v>
      </c>
      <c r="Q88" s="84">
        <f t="shared" si="11"/>
        <v>1.2905000000000002</v>
      </c>
      <c r="R88" t="e">
        <f t="shared" si="24"/>
        <v>#N/A</v>
      </c>
    </row>
    <row r="89" spans="1:18" ht="14.4" x14ac:dyDescent="0.3">
      <c r="A89" s="81" t="s">
        <v>143</v>
      </c>
      <c r="B89" s="81" t="s">
        <v>19</v>
      </c>
      <c r="C89" s="81" t="s">
        <v>139</v>
      </c>
      <c r="D89" s="82" t="s">
        <v>140</v>
      </c>
      <c r="E89" s="82">
        <v>40</v>
      </c>
      <c r="F89" s="82">
        <v>152</v>
      </c>
      <c r="G89" s="82" t="str">
        <f t="shared" si="43"/>
        <v>4</v>
      </c>
      <c r="H89" s="83">
        <v>46065</v>
      </c>
      <c r="I89" s="84">
        <v>3.04</v>
      </c>
      <c r="J89" s="84">
        <v>19</v>
      </c>
      <c r="K89" s="84"/>
      <c r="L89" s="85">
        <v>18.420000000000002</v>
      </c>
      <c r="M89" s="86">
        <f t="shared" si="32"/>
        <v>9.0258000000000003</v>
      </c>
      <c r="N89" s="84">
        <f t="shared" si="44"/>
        <v>13.809474</v>
      </c>
      <c r="O89" s="85">
        <v>267.3</v>
      </c>
      <c r="P89" s="85">
        <v>200</v>
      </c>
      <c r="Q89" s="84">
        <f t="shared" si="11"/>
        <v>1.3365</v>
      </c>
      <c r="R89" t="e">
        <f t="shared" si="24"/>
        <v>#N/A</v>
      </c>
    </row>
    <row r="90" spans="1:18" ht="14.4" x14ac:dyDescent="0.3">
      <c r="A90" s="81" t="s">
        <v>144</v>
      </c>
      <c r="B90" s="81" t="s">
        <v>19</v>
      </c>
      <c r="C90" s="81" t="s">
        <v>139</v>
      </c>
      <c r="D90" s="82" t="s">
        <v>140</v>
      </c>
      <c r="E90" s="82">
        <v>40</v>
      </c>
      <c r="F90" s="82">
        <v>152</v>
      </c>
      <c r="G90" s="82" t="str">
        <f t="shared" si="43"/>
        <v>5</v>
      </c>
      <c r="H90" s="83">
        <v>46071</v>
      </c>
      <c r="I90" s="84">
        <v>3.12</v>
      </c>
      <c r="J90" s="84">
        <v>19.8</v>
      </c>
      <c r="K90" s="84"/>
      <c r="L90" s="85">
        <v>16.62</v>
      </c>
      <c r="M90" s="86">
        <f t="shared" si="32"/>
        <v>8.1438000000000006</v>
      </c>
      <c r="N90" s="84">
        <f t="shared" si="44"/>
        <v>12.460014000000001</v>
      </c>
      <c r="O90" s="85">
        <v>291.2</v>
      </c>
      <c r="P90" s="85">
        <v>200</v>
      </c>
      <c r="Q90" s="84">
        <f t="shared" si="11"/>
        <v>1.456</v>
      </c>
      <c r="R90" t="e">
        <f t="shared" si="24"/>
        <v>#N/A</v>
      </c>
    </row>
    <row r="91" spans="1:18" ht="14.4" x14ac:dyDescent="0.3">
      <c r="A91" s="81" t="s">
        <v>145</v>
      </c>
      <c r="B91" s="81" t="s">
        <v>19</v>
      </c>
      <c r="C91" s="81" t="s">
        <v>139</v>
      </c>
      <c r="D91" s="82" t="s">
        <v>140</v>
      </c>
      <c r="E91" s="82">
        <v>40</v>
      </c>
      <c r="F91" s="82">
        <v>152</v>
      </c>
      <c r="G91" s="82" t="str">
        <f t="shared" si="43"/>
        <v>6</v>
      </c>
      <c r="H91" s="83">
        <v>46079</v>
      </c>
      <c r="I91" s="84">
        <v>3.11</v>
      </c>
      <c r="J91" s="84">
        <v>22.3</v>
      </c>
      <c r="K91" s="84"/>
      <c r="L91" s="85">
        <v>13.8</v>
      </c>
      <c r="M91" s="86">
        <f t="shared" si="32"/>
        <v>6.7620000000000005</v>
      </c>
      <c r="N91" s="84">
        <f t="shared" si="44"/>
        <v>10.34586</v>
      </c>
      <c r="O91" s="85">
        <v>290.2</v>
      </c>
      <c r="P91" s="85">
        <v>200</v>
      </c>
      <c r="Q91" s="84">
        <f t="shared" si="11"/>
        <v>1.4509999999999998</v>
      </c>
      <c r="R91" t="e">
        <f t="shared" si="24"/>
        <v>#N/A</v>
      </c>
    </row>
    <row r="92" spans="1:18" ht="14.4" x14ac:dyDescent="0.3">
      <c r="A92" s="81" t="s">
        <v>146</v>
      </c>
      <c r="B92" s="81" t="s">
        <v>19</v>
      </c>
      <c r="C92" s="81" t="s">
        <v>139</v>
      </c>
      <c r="D92" s="82" t="s">
        <v>140</v>
      </c>
      <c r="E92" s="82">
        <v>40</v>
      </c>
      <c r="F92" s="82">
        <v>152</v>
      </c>
      <c r="G92" s="82" t="str">
        <f t="shared" si="43"/>
        <v>7</v>
      </c>
      <c r="H92" s="83">
        <v>46086</v>
      </c>
      <c r="I92" s="84">
        <v>3.14</v>
      </c>
      <c r="J92" s="84">
        <v>23.1</v>
      </c>
      <c r="K92" s="84"/>
      <c r="L92" s="85">
        <v>11.44</v>
      </c>
      <c r="M92" s="86">
        <f t="shared" si="32"/>
        <v>5.6055999999999999</v>
      </c>
      <c r="N92" s="84">
        <f t="shared" si="44"/>
        <v>8.576568</v>
      </c>
      <c r="O92" s="85">
        <v>296.60000000000002</v>
      </c>
      <c r="P92" s="85">
        <v>200</v>
      </c>
      <c r="Q92" s="84">
        <f t="shared" si="11"/>
        <v>1.4830000000000001</v>
      </c>
      <c r="R92" t="e">
        <f t="shared" si="24"/>
        <v>#N/A</v>
      </c>
    </row>
    <row r="93" spans="1:18" ht="14.4" x14ac:dyDescent="0.3">
      <c r="A93" s="90" t="s">
        <v>147</v>
      </c>
      <c r="B93" s="81" t="s">
        <v>19</v>
      </c>
      <c r="C93" s="81" t="s">
        <v>139</v>
      </c>
      <c r="D93" s="82" t="s">
        <v>140</v>
      </c>
      <c r="E93" s="82">
        <v>40</v>
      </c>
      <c r="F93" s="82">
        <v>152</v>
      </c>
      <c r="G93" s="82" t="str">
        <f t="shared" si="43"/>
        <v>8</v>
      </c>
      <c r="H93" s="83">
        <v>46094</v>
      </c>
      <c r="I93" s="84">
        <v>3.13</v>
      </c>
      <c r="J93" s="84">
        <v>23.7</v>
      </c>
      <c r="K93" s="84"/>
      <c r="L93" s="85">
        <v>11.07</v>
      </c>
      <c r="M93" s="86">
        <f t="shared" si="32"/>
        <v>5.4242999999999997</v>
      </c>
      <c r="N93" s="84">
        <f t="shared" si="44"/>
        <v>8.2991790000000005</v>
      </c>
      <c r="O93" s="85">
        <v>309.7</v>
      </c>
      <c r="P93" s="85">
        <v>200</v>
      </c>
      <c r="Q93" s="84">
        <f t="shared" si="11"/>
        <v>1.5485</v>
      </c>
      <c r="R93" t="e">
        <f t="shared" si="24"/>
        <v>#N/A</v>
      </c>
    </row>
    <row r="94" spans="1:18" ht="14.4" x14ac:dyDescent="0.3">
      <c r="A94" s="81" t="s">
        <v>148</v>
      </c>
      <c r="B94" s="81" t="s">
        <v>19</v>
      </c>
      <c r="C94" s="81" t="s">
        <v>139</v>
      </c>
      <c r="D94" s="82" t="s">
        <v>140</v>
      </c>
      <c r="E94" s="82">
        <v>40</v>
      </c>
      <c r="F94" s="82">
        <v>152</v>
      </c>
      <c r="G94" s="82" t="str">
        <f t="shared" si="43"/>
        <v>9</v>
      </c>
      <c r="H94" s="83">
        <v>46108</v>
      </c>
      <c r="I94" s="84">
        <v>3.05</v>
      </c>
      <c r="J94" s="84">
        <v>23.8</v>
      </c>
      <c r="K94" s="84"/>
      <c r="L94" s="85">
        <v>10.59</v>
      </c>
      <c r="M94" s="86">
        <f t="shared" si="32"/>
        <v>5.1890999999999998</v>
      </c>
      <c r="N94" s="84">
        <f t="shared" si="44"/>
        <v>7.9393229999999999</v>
      </c>
      <c r="O94" s="85">
        <v>301.8</v>
      </c>
      <c r="P94" s="85">
        <v>200</v>
      </c>
      <c r="Q94" s="84">
        <f t="shared" si="11"/>
        <v>1.5090000000000001</v>
      </c>
      <c r="R94" t="e">
        <f t="shared" si="24"/>
        <v>#N/A</v>
      </c>
    </row>
    <row r="95" spans="1:18" ht="14.4" x14ac:dyDescent="0.3">
      <c r="A95" s="81" t="s">
        <v>149</v>
      </c>
      <c r="B95" s="81" t="s">
        <v>19</v>
      </c>
      <c r="C95" s="81" t="s">
        <v>139</v>
      </c>
      <c r="D95" s="82" t="s">
        <v>140</v>
      </c>
      <c r="E95" s="82">
        <v>40</v>
      </c>
      <c r="F95" s="82">
        <v>152</v>
      </c>
      <c r="G95" s="82">
        <v>10</v>
      </c>
      <c r="H95" s="83">
        <v>46114</v>
      </c>
      <c r="I95" s="84">
        <v>3.07</v>
      </c>
      <c r="J95" s="84">
        <v>25</v>
      </c>
      <c r="K95" s="84"/>
      <c r="L95" s="85">
        <v>11.37</v>
      </c>
      <c r="M95" s="86">
        <f t="shared" si="32"/>
        <v>5.5712999999999999</v>
      </c>
      <c r="N95" s="84">
        <f t="shared" si="44"/>
        <v>8.524089</v>
      </c>
      <c r="O95" s="85">
        <v>295.8</v>
      </c>
      <c r="P95" s="85">
        <v>200</v>
      </c>
      <c r="Q95" s="84">
        <f t="shared" si="11"/>
        <v>1.4790000000000001</v>
      </c>
      <c r="R95" t="e">
        <f t="shared" si="24"/>
        <v>#N/A</v>
      </c>
    </row>
    <row r="96" spans="1:18" ht="14.4" x14ac:dyDescent="0.3">
      <c r="A96" s="81" t="s">
        <v>150</v>
      </c>
      <c r="B96" s="81" t="s">
        <v>19</v>
      </c>
      <c r="C96" s="81" t="s">
        <v>139</v>
      </c>
      <c r="D96" s="82" t="s">
        <v>151</v>
      </c>
      <c r="E96" s="82">
        <v>3</v>
      </c>
      <c r="F96" s="91" t="s">
        <v>152</v>
      </c>
      <c r="G96" s="82" t="str">
        <f t="shared" si="43"/>
        <v>1</v>
      </c>
      <c r="H96" s="83">
        <v>46044</v>
      </c>
      <c r="I96" s="84">
        <v>2.84</v>
      </c>
      <c r="J96" s="84">
        <v>15.2</v>
      </c>
      <c r="K96" s="84"/>
      <c r="L96" s="85">
        <v>29.46</v>
      </c>
      <c r="M96" s="86">
        <f t="shared" si="32"/>
        <v>14.4354</v>
      </c>
      <c r="N96" s="84">
        <f t="shared" si="44"/>
        <v>22.086161999999998</v>
      </c>
      <c r="O96" s="85">
        <v>214.98</v>
      </c>
      <c r="P96" s="85">
        <v>200</v>
      </c>
      <c r="Q96" s="84">
        <f t="shared" ref="Q96:Q118" si="45">O96/P96</f>
        <v>1.0749</v>
      </c>
      <c r="R96" t="e">
        <f t="shared" si="24"/>
        <v>#N/A</v>
      </c>
    </row>
    <row r="97" spans="1:18" ht="14.4" x14ac:dyDescent="0.3">
      <c r="A97" s="81" t="s">
        <v>153</v>
      </c>
      <c r="B97" s="81" t="s">
        <v>19</v>
      </c>
      <c r="C97" s="81" t="s">
        <v>139</v>
      </c>
      <c r="D97" s="82" t="s">
        <v>151</v>
      </c>
      <c r="E97" s="82">
        <v>3</v>
      </c>
      <c r="F97" s="91" t="s">
        <v>152</v>
      </c>
      <c r="G97" s="82" t="str">
        <f t="shared" si="43"/>
        <v>2</v>
      </c>
      <c r="H97" s="83">
        <v>46051</v>
      </c>
      <c r="I97" s="84">
        <v>2.87</v>
      </c>
      <c r="J97" s="84">
        <v>16</v>
      </c>
      <c r="K97" s="84"/>
      <c r="L97" s="85">
        <v>24.2</v>
      </c>
      <c r="M97" s="86">
        <f t="shared" si="32"/>
        <v>11.857999999999999</v>
      </c>
      <c r="N97" s="84">
        <f t="shared" si="44"/>
        <v>18.14274</v>
      </c>
      <c r="O97" s="85">
        <v>233.77</v>
      </c>
      <c r="P97" s="85">
        <v>200</v>
      </c>
      <c r="Q97" s="84">
        <f t="shared" si="45"/>
        <v>1.1688499999999999</v>
      </c>
      <c r="R97" t="e">
        <f t="shared" si="24"/>
        <v>#N/A</v>
      </c>
    </row>
    <row r="98" spans="1:18" ht="14.4" x14ac:dyDescent="0.3">
      <c r="A98" s="81" t="s">
        <v>154</v>
      </c>
      <c r="B98" s="81" t="s">
        <v>19</v>
      </c>
      <c r="C98" s="81" t="s">
        <v>139</v>
      </c>
      <c r="D98" s="82" t="s">
        <v>151</v>
      </c>
      <c r="E98" s="82">
        <v>3</v>
      </c>
      <c r="F98" s="91" t="s">
        <v>152</v>
      </c>
      <c r="G98" s="82" t="str">
        <f t="shared" si="43"/>
        <v>3</v>
      </c>
      <c r="H98" s="83">
        <v>46057</v>
      </c>
      <c r="I98" s="84">
        <v>2.97</v>
      </c>
      <c r="J98" s="84">
        <v>17.2</v>
      </c>
      <c r="K98" s="84"/>
      <c r="L98" s="85">
        <v>20.100000000000001</v>
      </c>
      <c r="M98" s="86">
        <f t="shared" si="32"/>
        <v>9.8490000000000002</v>
      </c>
      <c r="N98" s="84">
        <f t="shared" si="44"/>
        <v>15.06897</v>
      </c>
      <c r="O98" s="85">
        <v>253.7</v>
      </c>
      <c r="P98" s="85">
        <v>200</v>
      </c>
      <c r="Q98" s="84">
        <f t="shared" si="45"/>
        <v>1.2685</v>
      </c>
      <c r="R98" t="e">
        <f t="shared" si="24"/>
        <v>#N/A</v>
      </c>
    </row>
    <row r="99" spans="1:18" ht="14.4" x14ac:dyDescent="0.3">
      <c r="A99" s="81" t="s">
        <v>155</v>
      </c>
      <c r="B99" s="81" t="s">
        <v>19</v>
      </c>
      <c r="C99" s="81" t="s">
        <v>139</v>
      </c>
      <c r="D99" s="82" t="s">
        <v>151</v>
      </c>
      <c r="E99" s="82">
        <v>3</v>
      </c>
      <c r="F99" s="91" t="s">
        <v>152</v>
      </c>
      <c r="G99" s="82" t="str">
        <f t="shared" si="43"/>
        <v>4</v>
      </c>
      <c r="H99" s="83">
        <v>46064</v>
      </c>
      <c r="I99" s="84">
        <v>3.03</v>
      </c>
      <c r="J99" s="84">
        <v>18.7</v>
      </c>
      <c r="K99" s="84"/>
      <c r="L99" s="85">
        <v>17.54</v>
      </c>
      <c r="M99" s="86">
        <f t="shared" si="32"/>
        <v>8.5945999999999998</v>
      </c>
      <c r="N99" s="84">
        <f t="shared" si="44"/>
        <v>13.149737999999999</v>
      </c>
      <c r="O99" s="85">
        <v>248.3</v>
      </c>
      <c r="P99" s="85">
        <v>200</v>
      </c>
      <c r="Q99" s="84">
        <f t="shared" si="45"/>
        <v>1.2415</v>
      </c>
      <c r="R99" t="e">
        <f t="shared" si="24"/>
        <v>#N/A</v>
      </c>
    </row>
    <row r="100" spans="1:18" ht="14.4" x14ac:dyDescent="0.3">
      <c r="A100" s="81" t="s">
        <v>156</v>
      </c>
      <c r="B100" s="81" t="s">
        <v>19</v>
      </c>
      <c r="C100" s="81" t="s">
        <v>139</v>
      </c>
      <c r="D100" s="82" t="s">
        <v>151</v>
      </c>
      <c r="E100" s="82">
        <v>3</v>
      </c>
      <c r="F100" s="91" t="s">
        <v>152</v>
      </c>
      <c r="G100" s="82" t="str">
        <f t="shared" si="43"/>
        <v>5</v>
      </c>
      <c r="H100" s="83">
        <v>46072</v>
      </c>
      <c r="I100" s="84">
        <v>3.11</v>
      </c>
      <c r="J100" s="84">
        <v>21.1</v>
      </c>
      <c r="K100" s="84"/>
      <c r="L100" s="85">
        <v>13.56</v>
      </c>
      <c r="M100" s="86">
        <f t="shared" si="32"/>
        <v>6.6444000000000001</v>
      </c>
      <c r="N100" s="84">
        <f t="shared" si="44"/>
        <v>10.165932</v>
      </c>
      <c r="O100" s="85">
        <v>309.60000000000002</v>
      </c>
      <c r="P100" s="85">
        <v>200</v>
      </c>
      <c r="Q100" s="84">
        <f t="shared" si="45"/>
        <v>1.548</v>
      </c>
      <c r="R100" t="e">
        <f t="shared" si="24"/>
        <v>#N/A</v>
      </c>
    </row>
    <row r="101" spans="1:18" ht="14.4" x14ac:dyDescent="0.3">
      <c r="A101" s="81" t="s">
        <v>157</v>
      </c>
      <c r="B101" s="81" t="s">
        <v>19</v>
      </c>
      <c r="C101" s="81" t="s">
        <v>139</v>
      </c>
      <c r="D101" s="82" t="s">
        <v>151</v>
      </c>
      <c r="E101" s="82">
        <v>3</v>
      </c>
      <c r="F101" s="91" t="s">
        <v>152</v>
      </c>
      <c r="G101" s="82" t="str">
        <f t="shared" si="43"/>
        <v>6</v>
      </c>
      <c r="H101" s="83">
        <v>46078</v>
      </c>
      <c r="I101" s="84">
        <v>3.09</v>
      </c>
      <c r="J101" s="84">
        <v>22.5</v>
      </c>
      <c r="K101" s="84"/>
      <c r="L101" s="85">
        <v>12.42</v>
      </c>
      <c r="M101" s="86">
        <f t="shared" si="32"/>
        <v>6.0857999999999999</v>
      </c>
      <c r="N101" s="84">
        <f t="shared" si="44"/>
        <v>9.3112739999999992</v>
      </c>
      <c r="O101" s="85">
        <v>258.39999999999998</v>
      </c>
      <c r="P101" s="85">
        <v>200</v>
      </c>
      <c r="Q101" s="84">
        <f t="shared" si="45"/>
        <v>1.2919999999999998</v>
      </c>
      <c r="R101" t="e">
        <f t="shared" si="24"/>
        <v>#N/A</v>
      </c>
    </row>
    <row r="102" spans="1:18" ht="14.4" x14ac:dyDescent="0.3">
      <c r="A102" s="81" t="s">
        <v>158</v>
      </c>
      <c r="B102" s="81" t="s">
        <v>19</v>
      </c>
      <c r="C102" s="81" t="s">
        <v>139</v>
      </c>
      <c r="D102" s="82" t="s">
        <v>151</v>
      </c>
      <c r="E102" s="82">
        <v>3</v>
      </c>
      <c r="F102" s="91" t="s">
        <v>152</v>
      </c>
      <c r="G102" s="82" t="str">
        <f t="shared" si="43"/>
        <v>7</v>
      </c>
      <c r="H102" s="83">
        <v>46087</v>
      </c>
      <c r="I102" s="84">
        <v>3.15</v>
      </c>
      <c r="J102" s="84">
        <v>22.8</v>
      </c>
      <c r="K102" s="84">
        <v>1</v>
      </c>
      <c r="L102" s="85">
        <v>12.36</v>
      </c>
      <c r="M102" s="86">
        <f t="shared" ref="M102" si="46">L102*0.49</f>
        <v>6.0564</v>
      </c>
      <c r="N102" s="84">
        <f t="shared" ref="N102" si="47">M102*1.53</f>
        <v>9.266292</v>
      </c>
      <c r="O102" s="85">
        <v>303.10000000000002</v>
      </c>
      <c r="P102" s="85">
        <v>200</v>
      </c>
      <c r="Q102" s="84">
        <f t="shared" si="45"/>
        <v>1.5155000000000001</v>
      </c>
      <c r="R102">
        <f t="shared" si="24"/>
        <v>17667</v>
      </c>
    </row>
    <row r="103" spans="1:18" ht="14.4" x14ac:dyDescent="0.3">
      <c r="A103" s="81" t="s">
        <v>159</v>
      </c>
      <c r="B103" s="81" t="s">
        <v>19</v>
      </c>
      <c r="C103" s="81" t="s">
        <v>139</v>
      </c>
      <c r="D103" s="82" t="s">
        <v>151</v>
      </c>
      <c r="E103" s="82">
        <v>3</v>
      </c>
      <c r="F103" s="91" t="s">
        <v>152</v>
      </c>
      <c r="G103" s="82" t="str">
        <f t="shared" si="43"/>
        <v>8</v>
      </c>
      <c r="H103" s="83">
        <v>46092</v>
      </c>
      <c r="I103" s="84">
        <v>3.21</v>
      </c>
      <c r="J103" s="84">
        <v>23.5</v>
      </c>
      <c r="K103" s="84"/>
      <c r="L103" s="85">
        <v>12.25</v>
      </c>
      <c r="M103" s="86">
        <f t="shared" si="32"/>
        <v>6.0024999999999995</v>
      </c>
      <c r="N103" s="84">
        <f t="shared" si="44"/>
        <v>9.1838249999999988</v>
      </c>
      <c r="O103" s="85">
        <v>261.39999999999998</v>
      </c>
      <c r="P103" s="85">
        <v>200</v>
      </c>
      <c r="Q103" s="84">
        <f t="shared" si="45"/>
        <v>1.3069999999999999</v>
      </c>
      <c r="R103" t="e">
        <f t="shared" si="24"/>
        <v>#N/A</v>
      </c>
    </row>
    <row r="104" spans="1:18" ht="14.4" x14ac:dyDescent="0.3">
      <c r="A104" s="81" t="s">
        <v>160</v>
      </c>
      <c r="B104" s="81" t="s">
        <v>19</v>
      </c>
      <c r="C104" s="81" t="s">
        <v>139</v>
      </c>
      <c r="D104" s="82" t="s">
        <v>151</v>
      </c>
      <c r="E104" s="82">
        <v>3</v>
      </c>
      <c r="F104" s="91" t="s">
        <v>152</v>
      </c>
      <c r="G104" s="82" t="str">
        <f t="shared" si="43"/>
        <v>9</v>
      </c>
      <c r="H104" s="83">
        <v>46100</v>
      </c>
      <c r="I104" s="84">
        <v>3.21</v>
      </c>
      <c r="J104" s="84">
        <v>24.4</v>
      </c>
      <c r="K104" s="84"/>
      <c r="L104" s="85">
        <v>9.75</v>
      </c>
      <c r="M104" s="86">
        <f t="shared" si="32"/>
        <v>4.7774999999999999</v>
      </c>
      <c r="N104" s="84">
        <f t="shared" si="44"/>
        <v>7.3095749999999997</v>
      </c>
      <c r="O104" s="85">
        <v>269.10000000000002</v>
      </c>
      <c r="P104" s="85">
        <v>200</v>
      </c>
      <c r="Q104" s="84">
        <f t="shared" si="45"/>
        <v>1.3455000000000001</v>
      </c>
      <c r="R104" t="e">
        <f t="shared" si="24"/>
        <v>#N/A</v>
      </c>
    </row>
    <row r="105" spans="1:18" ht="14.4" x14ac:dyDescent="0.3">
      <c r="A105" s="81" t="s">
        <v>161</v>
      </c>
      <c r="B105" s="81" t="s">
        <v>19</v>
      </c>
      <c r="C105" s="81" t="s">
        <v>139</v>
      </c>
      <c r="D105" s="82" t="s">
        <v>151</v>
      </c>
      <c r="E105" s="82">
        <v>3</v>
      </c>
      <c r="F105" s="91" t="s">
        <v>152</v>
      </c>
      <c r="G105" s="82">
        <v>10</v>
      </c>
      <c r="H105" s="83">
        <v>46108</v>
      </c>
      <c r="I105" s="84">
        <v>3.64</v>
      </c>
      <c r="J105" s="84">
        <v>25.4</v>
      </c>
      <c r="K105" s="84">
        <v>2</v>
      </c>
      <c r="L105" s="85">
        <v>5.19</v>
      </c>
      <c r="M105" s="86">
        <f t="shared" si="32"/>
        <v>2.5431000000000004</v>
      </c>
      <c r="N105" s="84">
        <f t="shared" si="44"/>
        <v>3.8909430000000005</v>
      </c>
      <c r="O105" s="85">
        <v>327.3</v>
      </c>
      <c r="P105" s="85">
        <v>200</v>
      </c>
      <c r="Q105" s="84">
        <f t="shared" si="45"/>
        <v>1.6365000000000001</v>
      </c>
      <c r="R105">
        <f t="shared" si="24"/>
        <v>14967</v>
      </c>
    </row>
    <row r="106" spans="1:18" ht="14.4" x14ac:dyDescent="0.3">
      <c r="A106" s="81" t="s">
        <v>162</v>
      </c>
      <c r="B106" s="81" t="s">
        <v>19</v>
      </c>
      <c r="C106" s="81" t="s">
        <v>139</v>
      </c>
      <c r="D106" s="82" t="s">
        <v>151</v>
      </c>
      <c r="E106" s="82">
        <v>3</v>
      </c>
      <c r="F106" s="91" t="s">
        <v>152</v>
      </c>
      <c r="G106" s="82">
        <v>11</v>
      </c>
      <c r="H106" s="83">
        <v>46113</v>
      </c>
      <c r="I106" s="84">
        <v>3.16</v>
      </c>
      <c r="J106" s="84">
        <v>24.8</v>
      </c>
      <c r="K106" s="84">
        <v>3</v>
      </c>
      <c r="L106" s="85">
        <v>8.68</v>
      </c>
      <c r="M106" s="86">
        <f t="shared" ref="M106" si="48">L106*0.49</f>
        <v>4.2531999999999996</v>
      </c>
      <c r="N106" s="84">
        <f t="shared" ref="N106" si="49">M106*1.53</f>
        <v>6.507396</v>
      </c>
      <c r="O106" s="85">
        <v>253.4</v>
      </c>
      <c r="P106" s="85">
        <v>200</v>
      </c>
      <c r="Q106" s="84">
        <f t="shared" si="45"/>
        <v>1.2670000000000001</v>
      </c>
      <c r="R106">
        <f t="shared" si="24"/>
        <v>15967</v>
      </c>
    </row>
    <row r="107" spans="1:18" ht="14.4" x14ac:dyDescent="0.3">
      <c r="A107" s="81" t="s">
        <v>163</v>
      </c>
      <c r="B107" s="81" t="s">
        <v>19</v>
      </c>
      <c r="C107" s="81" t="s">
        <v>139</v>
      </c>
      <c r="D107" s="82" t="s">
        <v>151</v>
      </c>
      <c r="E107" s="82">
        <v>3</v>
      </c>
      <c r="F107" s="91" t="s">
        <v>152</v>
      </c>
      <c r="G107" s="82">
        <v>12</v>
      </c>
      <c r="H107" s="83">
        <v>46120</v>
      </c>
      <c r="I107" s="84">
        <v>3.26</v>
      </c>
      <c r="J107" s="84">
        <v>25.6</v>
      </c>
      <c r="K107" s="84">
        <v>4</v>
      </c>
      <c r="L107" s="85">
        <v>8.51</v>
      </c>
      <c r="M107" s="86">
        <f t="shared" ref="M107" si="50">L107*0.49</f>
        <v>4.1699000000000002</v>
      </c>
      <c r="N107" s="84">
        <f t="shared" ref="N107" si="51">M107*1.53</f>
        <v>6.3799470000000005</v>
      </c>
      <c r="O107" s="85">
        <v>299.8</v>
      </c>
      <c r="P107" s="85">
        <v>200</v>
      </c>
      <c r="Q107" s="84">
        <f t="shared" si="45"/>
        <v>1.4990000000000001</v>
      </c>
      <c r="R107">
        <f t="shared" si="24"/>
        <v>16975</v>
      </c>
    </row>
    <row r="108" spans="1:18" ht="14.4" x14ac:dyDescent="0.3">
      <c r="A108" s="81" t="s">
        <v>164</v>
      </c>
      <c r="B108" s="81" t="s">
        <v>19</v>
      </c>
      <c r="C108" s="81" t="s">
        <v>139</v>
      </c>
      <c r="D108" s="82" t="s">
        <v>151</v>
      </c>
      <c r="E108" s="82">
        <v>3</v>
      </c>
      <c r="F108" s="91" t="s">
        <v>152</v>
      </c>
      <c r="G108" s="82">
        <v>13</v>
      </c>
      <c r="H108" s="83">
        <v>46128</v>
      </c>
      <c r="I108" s="84">
        <v>3.34</v>
      </c>
      <c r="J108" s="84">
        <v>26.6</v>
      </c>
      <c r="K108" s="84">
        <v>5</v>
      </c>
      <c r="L108" s="85">
        <v>8.4</v>
      </c>
      <c r="M108" s="86">
        <f t="shared" ref="M108" si="52">L108*0.49</f>
        <v>4.1159999999999997</v>
      </c>
      <c r="N108" s="84">
        <f t="shared" ref="N108" si="53">M108*1.53</f>
        <v>6.2974799999999993</v>
      </c>
      <c r="O108" s="85">
        <v>278</v>
      </c>
      <c r="P108" s="85">
        <v>200</v>
      </c>
      <c r="Q108" s="84">
        <f t="shared" si="45"/>
        <v>1.39</v>
      </c>
      <c r="R108">
        <f t="shared" si="24"/>
        <v>14561</v>
      </c>
    </row>
    <row r="109" spans="1:18" ht="14.4" x14ac:dyDescent="0.3">
      <c r="A109" s="81" t="s">
        <v>165</v>
      </c>
      <c r="B109" s="81" t="s">
        <v>51</v>
      </c>
      <c r="C109" s="81" t="s">
        <v>139</v>
      </c>
      <c r="D109" s="82" t="s">
        <v>166</v>
      </c>
      <c r="E109" s="82">
        <v>13</v>
      </c>
      <c r="F109" s="91" t="s">
        <v>167</v>
      </c>
      <c r="G109" s="82" t="str">
        <f t="shared" si="43"/>
        <v>1</v>
      </c>
      <c r="H109" s="83">
        <v>46045</v>
      </c>
      <c r="I109" s="84">
        <v>3.04</v>
      </c>
      <c r="J109" s="84">
        <v>15.1</v>
      </c>
      <c r="K109" s="84"/>
      <c r="L109" s="85">
        <v>13.42</v>
      </c>
      <c r="M109" s="86">
        <f t="shared" si="32"/>
        <v>6.5758000000000001</v>
      </c>
      <c r="N109" s="84">
        <f t="shared" si="44"/>
        <v>10.060974</v>
      </c>
      <c r="O109" s="85">
        <v>294.51</v>
      </c>
      <c r="P109" s="85">
        <v>200</v>
      </c>
      <c r="Q109" s="84">
        <f t="shared" si="45"/>
        <v>1.47255</v>
      </c>
      <c r="R109" t="e">
        <f t="shared" si="24"/>
        <v>#N/A</v>
      </c>
    </row>
    <row r="110" spans="1:18" ht="14.4" x14ac:dyDescent="0.3">
      <c r="A110" s="81" t="s">
        <v>168</v>
      </c>
      <c r="B110" s="81" t="s">
        <v>51</v>
      </c>
      <c r="C110" s="81" t="s">
        <v>139</v>
      </c>
      <c r="D110" s="82" t="s">
        <v>166</v>
      </c>
      <c r="E110" s="82">
        <v>13</v>
      </c>
      <c r="F110" s="91" t="s">
        <v>167</v>
      </c>
      <c r="G110" s="82" t="str">
        <f t="shared" si="43"/>
        <v>2</v>
      </c>
      <c r="H110" s="83">
        <v>46051</v>
      </c>
      <c r="I110" s="84">
        <v>3.08</v>
      </c>
      <c r="J110" s="84">
        <v>16.899999999999999</v>
      </c>
      <c r="K110" s="84"/>
      <c r="L110" s="85">
        <v>10.58</v>
      </c>
      <c r="M110" s="86">
        <f t="shared" si="32"/>
        <v>5.1841999999999997</v>
      </c>
      <c r="N110" s="84">
        <f t="shared" si="44"/>
        <v>7.931826</v>
      </c>
      <c r="O110" s="85">
        <v>316.42</v>
      </c>
      <c r="P110" s="85">
        <v>200</v>
      </c>
      <c r="Q110" s="84">
        <f t="shared" si="45"/>
        <v>1.5821000000000001</v>
      </c>
      <c r="R110" t="e">
        <f t="shared" si="24"/>
        <v>#N/A</v>
      </c>
    </row>
    <row r="111" spans="1:18" ht="14.4" x14ac:dyDescent="0.3">
      <c r="A111" s="81" t="s">
        <v>169</v>
      </c>
      <c r="B111" s="81" t="s">
        <v>51</v>
      </c>
      <c r="C111" s="81" t="s">
        <v>139</v>
      </c>
      <c r="D111" s="82" t="s">
        <v>166</v>
      </c>
      <c r="E111" s="82">
        <v>13</v>
      </c>
      <c r="F111" s="91" t="s">
        <v>167</v>
      </c>
      <c r="G111" s="82" t="str">
        <f t="shared" si="43"/>
        <v>3</v>
      </c>
      <c r="H111" s="83">
        <v>46058</v>
      </c>
      <c r="I111" s="84">
        <v>3.2</v>
      </c>
      <c r="J111" s="84">
        <v>18.2</v>
      </c>
      <c r="K111" s="84"/>
      <c r="L111" s="85">
        <v>7.97</v>
      </c>
      <c r="M111" s="86">
        <f t="shared" si="32"/>
        <v>3.9053</v>
      </c>
      <c r="N111" s="84">
        <f t="shared" si="44"/>
        <v>5.9751089999999998</v>
      </c>
      <c r="O111" s="85">
        <v>358.6</v>
      </c>
      <c r="P111" s="85">
        <v>200</v>
      </c>
      <c r="Q111" s="84">
        <f t="shared" si="45"/>
        <v>1.7930000000000001</v>
      </c>
      <c r="R111" t="e">
        <f t="shared" si="24"/>
        <v>#N/A</v>
      </c>
    </row>
    <row r="112" spans="1:18" ht="14.4" x14ac:dyDescent="0.3">
      <c r="A112" s="81" t="s">
        <v>170</v>
      </c>
      <c r="B112" s="81" t="s">
        <v>51</v>
      </c>
      <c r="C112" s="81" t="s">
        <v>139</v>
      </c>
      <c r="D112" s="82" t="s">
        <v>166</v>
      </c>
      <c r="E112" s="82">
        <v>13</v>
      </c>
      <c r="F112" s="91" t="s">
        <v>167</v>
      </c>
      <c r="G112" s="82" t="str">
        <f t="shared" si="43"/>
        <v>4</v>
      </c>
      <c r="H112" s="83">
        <v>46065</v>
      </c>
      <c r="I112" s="84">
        <v>3.29</v>
      </c>
      <c r="J112" s="84">
        <v>20</v>
      </c>
      <c r="K112" s="84"/>
      <c r="L112" s="85">
        <v>6.84</v>
      </c>
      <c r="M112" s="86">
        <f t="shared" si="32"/>
        <v>3.3515999999999999</v>
      </c>
      <c r="N112" s="84">
        <f t="shared" si="44"/>
        <v>5.127948</v>
      </c>
      <c r="O112" s="85">
        <v>367.7</v>
      </c>
      <c r="P112" s="85">
        <v>200</v>
      </c>
      <c r="Q112" s="84">
        <f t="shared" si="45"/>
        <v>1.8385</v>
      </c>
      <c r="R112" t="e">
        <f t="shared" si="24"/>
        <v>#N/A</v>
      </c>
    </row>
    <row r="113" spans="1:18" ht="14.4" x14ac:dyDescent="0.3">
      <c r="A113" s="81" t="s">
        <v>171</v>
      </c>
      <c r="B113" s="81" t="s">
        <v>51</v>
      </c>
      <c r="C113" s="81" t="s">
        <v>139</v>
      </c>
      <c r="D113" s="82" t="s">
        <v>166</v>
      </c>
      <c r="E113" s="82">
        <v>13</v>
      </c>
      <c r="F113" s="91" t="s">
        <v>167</v>
      </c>
      <c r="G113" s="82" t="str">
        <f t="shared" si="43"/>
        <v>5</v>
      </c>
      <c r="H113" s="83">
        <v>46072</v>
      </c>
      <c r="I113" s="84">
        <v>3.31</v>
      </c>
      <c r="J113" s="84">
        <v>21.2</v>
      </c>
      <c r="K113" s="84"/>
      <c r="L113" s="85">
        <v>6.18</v>
      </c>
      <c r="M113" s="86">
        <f t="shared" si="32"/>
        <v>3.0282</v>
      </c>
      <c r="N113" s="84">
        <f t="shared" si="44"/>
        <v>4.633146</v>
      </c>
      <c r="O113" s="85">
        <v>387.8</v>
      </c>
      <c r="P113" s="85">
        <v>200</v>
      </c>
      <c r="Q113" s="84">
        <f t="shared" si="45"/>
        <v>1.9390000000000001</v>
      </c>
      <c r="R113" t="e">
        <f t="shared" si="24"/>
        <v>#N/A</v>
      </c>
    </row>
    <row r="114" spans="1:18" ht="14.4" x14ac:dyDescent="0.3">
      <c r="A114" s="81" t="s">
        <v>172</v>
      </c>
      <c r="B114" s="81" t="s">
        <v>51</v>
      </c>
      <c r="C114" s="81" t="s">
        <v>139</v>
      </c>
      <c r="D114" s="82" t="s">
        <v>166</v>
      </c>
      <c r="E114" s="82">
        <v>13</v>
      </c>
      <c r="F114" s="91" t="s">
        <v>167</v>
      </c>
      <c r="G114" s="82">
        <v>6</v>
      </c>
      <c r="H114" s="83">
        <v>46079</v>
      </c>
      <c r="I114" s="84">
        <v>3.4</v>
      </c>
      <c r="J114" s="84">
        <v>23.4</v>
      </c>
      <c r="K114" s="84"/>
      <c r="L114" s="85">
        <v>5.56</v>
      </c>
      <c r="M114" s="86">
        <f t="shared" si="32"/>
        <v>2.7243999999999997</v>
      </c>
      <c r="N114" s="84">
        <f t="shared" si="44"/>
        <v>4.1683319999999995</v>
      </c>
      <c r="O114" s="85">
        <v>349.5</v>
      </c>
      <c r="P114" s="85">
        <v>200</v>
      </c>
      <c r="Q114" s="84">
        <f t="shared" si="45"/>
        <v>1.7475000000000001</v>
      </c>
      <c r="R114" t="e">
        <f t="shared" si="24"/>
        <v>#N/A</v>
      </c>
    </row>
    <row r="115" spans="1:18" ht="14.4" x14ac:dyDescent="0.3">
      <c r="A115" s="81" t="s">
        <v>173</v>
      </c>
      <c r="B115" s="81" t="s">
        <v>51</v>
      </c>
      <c r="C115" s="81" t="s">
        <v>139</v>
      </c>
      <c r="D115" s="82" t="s">
        <v>166</v>
      </c>
      <c r="E115" s="82">
        <v>13</v>
      </c>
      <c r="F115" s="91" t="s">
        <v>167</v>
      </c>
      <c r="G115" s="82">
        <v>7</v>
      </c>
      <c r="H115" s="83">
        <v>46086</v>
      </c>
      <c r="I115" s="84">
        <v>3.46</v>
      </c>
      <c r="J115" s="84">
        <v>23.9</v>
      </c>
      <c r="K115" s="84">
        <v>1</v>
      </c>
      <c r="L115" s="85">
        <v>5.13</v>
      </c>
      <c r="M115" s="86">
        <f t="shared" si="32"/>
        <v>2.5137</v>
      </c>
      <c r="N115" s="84">
        <f t="shared" si="44"/>
        <v>3.845961</v>
      </c>
      <c r="O115" s="85">
        <v>384.9</v>
      </c>
      <c r="P115" s="85">
        <v>200</v>
      </c>
      <c r="Q115" s="84">
        <f t="shared" si="45"/>
        <v>1.9244999999999999</v>
      </c>
      <c r="R115">
        <f t="shared" si="24"/>
        <v>17667</v>
      </c>
    </row>
    <row r="116" spans="1:18" ht="14.4" x14ac:dyDescent="0.3">
      <c r="A116" s="81" t="s">
        <v>174</v>
      </c>
      <c r="B116" s="81" t="s">
        <v>51</v>
      </c>
      <c r="C116" s="81" t="s">
        <v>139</v>
      </c>
      <c r="D116" s="82" t="s">
        <v>166</v>
      </c>
      <c r="E116" s="82">
        <v>13</v>
      </c>
      <c r="F116" s="91" t="s">
        <v>167</v>
      </c>
      <c r="G116" s="82">
        <v>8</v>
      </c>
      <c r="H116" s="83">
        <v>46094</v>
      </c>
      <c r="I116" s="84">
        <v>3.77</v>
      </c>
      <c r="J116" s="84">
        <v>25.4</v>
      </c>
      <c r="K116" s="84"/>
      <c r="L116" s="85">
        <v>2.77</v>
      </c>
      <c r="M116" s="86">
        <f t="shared" ref="M116" si="54">L116*0.49</f>
        <v>1.3573</v>
      </c>
      <c r="N116" s="84">
        <f t="shared" ref="N116" si="55">M116*1.53</f>
        <v>2.0766689999999999</v>
      </c>
      <c r="O116" s="85">
        <v>367.6</v>
      </c>
      <c r="P116" s="85">
        <v>200</v>
      </c>
      <c r="Q116" s="84">
        <f t="shared" si="45"/>
        <v>1.8380000000000001</v>
      </c>
      <c r="R116" t="e">
        <f t="shared" si="24"/>
        <v>#N/A</v>
      </c>
    </row>
    <row r="117" spans="1:18" ht="14.4" x14ac:dyDescent="0.3">
      <c r="A117" s="81" t="s">
        <v>175</v>
      </c>
      <c r="B117" s="81" t="s">
        <v>51</v>
      </c>
      <c r="C117" s="81" t="s">
        <v>139</v>
      </c>
      <c r="D117" s="82" t="s">
        <v>166</v>
      </c>
      <c r="E117" s="82">
        <v>13</v>
      </c>
      <c r="F117" s="91" t="s">
        <v>167</v>
      </c>
      <c r="G117" s="82">
        <v>8</v>
      </c>
      <c r="H117" s="83">
        <v>46100</v>
      </c>
      <c r="I117" s="84">
        <v>3.51</v>
      </c>
      <c r="J117" s="84">
        <v>24.8</v>
      </c>
      <c r="K117" s="84">
        <v>2</v>
      </c>
      <c r="L117" s="85">
        <v>4.67</v>
      </c>
      <c r="M117" s="86">
        <f t="shared" ref="M117:M118" si="56">L117*0.49</f>
        <v>2.2883</v>
      </c>
      <c r="N117" s="84">
        <f t="shared" ref="N117:N118" si="57">M117*1.53</f>
        <v>3.501099</v>
      </c>
      <c r="O117" s="85">
        <v>378.5</v>
      </c>
      <c r="P117" s="85">
        <v>200</v>
      </c>
      <c r="Q117" s="84">
        <f t="shared" si="45"/>
        <v>1.8925000000000001</v>
      </c>
      <c r="R117">
        <f t="shared" si="24"/>
        <v>14967</v>
      </c>
    </row>
    <row r="118" spans="1:18" ht="14.4" x14ac:dyDescent="0.3">
      <c r="A118" s="81" t="s">
        <v>175</v>
      </c>
      <c r="B118" s="81" t="s">
        <v>51</v>
      </c>
      <c r="C118" s="81" t="s">
        <v>139</v>
      </c>
      <c r="D118" s="82" t="s">
        <v>166</v>
      </c>
      <c r="E118" s="82">
        <v>13</v>
      </c>
      <c r="F118" s="91" t="s">
        <v>167</v>
      </c>
      <c r="G118" s="82">
        <v>9</v>
      </c>
      <c r="H118" s="83">
        <v>46108</v>
      </c>
      <c r="I118" s="84">
        <v>3.95</v>
      </c>
      <c r="J118" s="84">
        <v>26.6</v>
      </c>
      <c r="K118" s="84">
        <v>3</v>
      </c>
      <c r="L118" s="85">
        <v>3.85</v>
      </c>
      <c r="M118" s="86">
        <f t="shared" si="56"/>
        <v>1.8865000000000001</v>
      </c>
      <c r="N118" s="84">
        <f t="shared" si="57"/>
        <v>2.8863449999999999</v>
      </c>
      <c r="O118" s="85">
        <v>427.7</v>
      </c>
      <c r="P118" s="85">
        <v>200</v>
      </c>
      <c r="Q118" s="84">
        <f t="shared" si="45"/>
        <v>2.1385000000000001</v>
      </c>
      <c r="R118">
        <f t="shared" si="24"/>
        <v>15967</v>
      </c>
    </row>
    <row r="119" spans="1:18" ht="14.4" x14ac:dyDescent="0.3">
      <c r="A119" s="81" t="s">
        <v>176</v>
      </c>
      <c r="B119" s="81" t="s">
        <v>51</v>
      </c>
      <c r="C119" s="81" t="s">
        <v>139</v>
      </c>
      <c r="D119" s="82" t="s">
        <v>166</v>
      </c>
      <c r="E119" s="82">
        <v>13</v>
      </c>
      <c r="F119" s="91" t="s">
        <v>167</v>
      </c>
      <c r="G119" s="82">
        <v>10</v>
      </c>
      <c r="H119" s="83">
        <v>46114</v>
      </c>
      <c r="I119" s="84">
        <v>3.5</v>
      </c>
      <c r="J119" s="84">
        <v>25.1</v>
      </c>
      <c r="K119" s="84">
        <v>4</v>
      </c>
      <c r="L119" s="85">
        <v>4.28</v>
      </c>
      <c r="M119" s="86">
        <f>L119*0.49</f>
        <v>2.0972</v>
      </c>
      <c r="N119" s="84">
        <f>M119*1.53</f>
        <v>3.2087159999999999</v>
      </c>
      <c r="O119" s="85">
        <v>431.8</v>
      </c>
      <c r="P119" s="85">
        <v>200</v>
      </c>
      <c r="Q119" s="84">
        <f>O119/P119</f>
        <v>2.1590000000000003</v>
      </c>
      <c r="R119">
        <f t="shared" si="24"/>
        <v>16975</v>
      </c>
    </row>
    <row r="120" spans="1:18" ht="14.4" x14ac:dyDescent="0.3">
      <c r="A120" s="81" t="s">
        <v>177</v>
      </c>
      <c r="B120" s="81" t="s">
        <v>51</v>
      </c>
      <c r="C120" s="81" t="s">
        <v>139</v>
      </c>
      <c r="D120" s="82" t="s">
        <v>166</v>
      </c>
      <c r="E120" s="82">
        <v>13</v>
      </c>
      <c r="F120" s="91" t="s">
        <v>167</v>
      </c>
      <c r="G120" s="82">
        <v>11</v>
      </c>
      <c r="H120" s="83">
        <v>46121</v>
      </c>
      <c r="I120" s="84">
        <v>3.56</v>
      </c>
      <c r="J120" s="84">
        <v>25.6</v>
      </c>
      <c r="K120" s="84">
        <v>5</v>
      </c>
      <c r="L120" s="85">
        <v>4.1900000000000004</v>
      </c>
      <c r="M120" s="86">
        <f>L120*0.49</f>
        <v>2.0531000000000001</v>
      </c>
      <c r="N120" s="84">
        <f>M120*1.53</f>
        <v>3.1412430000000002</v>
      </c>
      <c r="O120" s="85">
        <v>414.6</v>
      </c>
      <c r="P120" s="85">
        <v>200</v>
      </c>
      <c r="Q120" s="84">
        <f>O120/P120</f>
        <v>2.073</v>
      </c>
      <c r="R120">
        <f t="shared" si="24"/>
        <v>14561</v>
      </c>
    </row>
    <row r="121" spans="1:18" ht="14.4" x14ac:dyDescent="0.3">
      <c r="A121" s="81" t="s">
        <v>178</v>
      </c>
      <c r="B121" s="81" t="s">
        <v>51</v>
      </c>
      <c r="C121" s="81" t="s">
        <v>139</v>
      </c>
      <c r="D121" s="82" t="s">
        <v>179</v>
      </c>
      <c r="E121" s="82">
        <v>171</v>
      </c>
      <c r="F121" s="82" t="s">
        <v>180</v>
      </c>
      <c r="G121" s="82" t="str">
        <f t="shared" si="43"/>
        <v>1</v>
      </c>
      <c r="H121" s="83">
        <v>46036</v>
      </c>
      <c r="I121" s="84">
        <v>2.77</v>
      </c>
      <c r="J121" s="84">
        <v>8.8000000000000007</v>
      </c>
      <c r="K121" s="84"/>
      <c r="L121" s="85">
        <v>30.48</v>
      </c>
      <c r="M121" s="86">
        <f>L121*0.49</f>
        <v>14.9352</v>
      </c>
      <c r="N121" s="84">
        <f>M121*1.53</f>
        <v>22.850856</v>
      </c>
      <c r="O121" s="85">
        <v>215.03</v>
      </c>
      <c r="P121" s="85">
        <v>200</v>
      </c>
      <c r="Q121" s="92">
        <f>O121/P121</f>
        <v>1.0751500000000001</v>
      </c>
      <c r="R121" t="e">
        <f t="shared" si="24"/>
        <v>#N/A</v>
      </c>
    </row>
    <row r="122" spans="1:18" ht="14.4" x14ac:dyDescent="0.3">
      <c r="A122" s="81" t="s">
        <v>181</v>
      </c>
      <c r="B122" s="81" t="s">
        <v>51</v>
      </c>
      <c r="C122" s="81" t="s">
        <v>139</v>
      </c>
      <c r="D122" s="82" t="s">
        <v>179</v>
      </c>
      <c r="E122" s="82">
        <v>171</v>
      </c>
      <c r="F122" s="82" t="s">
        <v>180</v>
      </c>
      <c r="G122" s="82" t="str">
        <f t="shared" si="43"/>
        <v>2</v>
      </c>
      <c r="H122" s="83">
        <v>46042</v>
      </c>
      <c r="I122" s="84">
        <v>2.88</v>
      </c>
      <c r="J122" s="84">
        <v>13</v>
      </c>
      <c r="K122" s="84"/>
      <c r="L122" s="85">
        <v>20</v>
      </c>
      <c r="M122" s="86">
        <f>L122*0.49</f>
        <v>9.8000000000000007</v>
      </c>
      <c r="N122" s="84">
        <f t="shared" ref="N122:N156" si="58">M122*1.53</f>
        <v>14.994000000000002</v>
      </c>
      <c r="O122" s="85">
        <v>277.58</v>
      </c>
      <c r="P122" s="85">
        <v>200</v>
      </c>
      <c r="Q122" s="92">
        <f>O122/P122</f>
        <v>1.3878999999999999</v>
      </c>
      <c r="R122" t="e">
        <f t="shared" si="24"/>
        <v>#N/A</v>
      </c>
    </row>
    <row r="123" spans="1:18" ht="14.4" x14ac:dyDescent="0.3">
      <c r="A123" s="81" t="s">
        <v>182</v>
      </c>
      <c r="B123" s="81" t="s">
        <v>51</v>
      </c>
      <c r="C123" s="81" t="s">
        <v>139</v>
      </c>
      <c r="D123" s="82" t="s">
        <v>179</v>
      </c>
      <c r="E123" s="82">
        <v>171</v>
      </c>
      <c r="F123" s="82" t="s">
        <v>180</v>
      </c>
      <c r="G123" s="82" t="str">
        <f t="shared" si="43"/>
        <v>3</v>
      </c>
      <c r="H123" s="83">
        <v>46049</v>
      </c>
      <c r="I123" s="84">
        <v>3.08</v>
      </c>
      <c r="J123" s="84">
        <v>14.5</v>
      </c>
      <c r="K123" s="84"/>
      <c r="L123" s="85">
        <v>14.4</v>
      </c>
      <c r="M123" s="86">
        <f t="shared" ref="M123:M156" si="59">L123*0.49</f>
        <v>7.056</v>
      </c>
      <c r="N123" s="84">
        <f t="shared" si="58"/>
        <v>10.795680000000001</v>
      </c>
      <c r="O123" s="85">
        <v>309.66000000000003</v>
      </c>
      <c r="P123" s="85">
        <v>200</v>
      </c>
      <c r="Q123" s="92">
        <f t="shared" ref="Q123:Q132" si="60">O123/P123</f>
        <v>1.5483000000000002</v>
      </c>
      <c r="R123" t="e">
        <f t="shared" si="24"/>
        <v>#N/A</v>
      </c>
    </row>
    <row r="124" spans="1:18" ht="14.4" x14ac:dyDescent="0.3">
      <c r="A124" s="81" t="s">
        <v>183</v>
      </c>
      <c r="B124" s="81" t="s">
        <v>51</v>
      </c>
      <c r="C124" s="81" t="s">
        <v>139</v>
      </c>
      <c r="D124" s="82" t="s">
        <v>179</v>
      </c>
      <c r="E124" s="82">
        <v>171</v>
      </c>
      <c r="F124" s="82" t="s">
        <v>180</v>
      </c>
      <c r="G124" s="82" t="str">
        <f t="shared" si="43"/>
        <v>4</v>
      </c>
      <c r="H124" s="83">
        <v>46056</v>
      </c>
      <c r="I124" s="84">
        <v>3.24</v>
      </c>
      <c r="J124" s="84">
        <v>16.2</v>
      </c>
      <c r="K124" s="84"/>
      <c r="L124" s="85">
        <v>10.48</v>
      </c>
      <c r="M124" s="86">
        <f t="shared" si="59"/>
        <v>5.1352000000000002</v>
      </c>
      <c r="N124" s="84">
        <f t="shared" si="58"/>
        <v>7.8568560000000005</v>
      </c>
      <c r="O124" s="85">
        <v>353.71</v>
      </c>
      <c r="P124" s="85">
        <v>200</v>
      </c>
      <c r="Q124" s="92">
        <f t="shared" si="60"/>
        <v>1.7685499999999998</v>
      </c>
      <c r="R124" t="e">
        <f t="shared" si="24"/>
        <v>#N/A</v>
      </c>
    </row>
    <row r="125" spans="1:18" ht="14.4" x14ac:dyDescent="0.3">
      <c r="A125" s="81" t="s">
        <v>184</v>
      </c>
      <c r="B125" s="81" t="s">
        <v>51</v>
      </c>
      <c r="C125" s="81" t="s">
        <v>139</v>
      </c>
      <c r="D125" s="82" t="s">
        <v>179</v>
      </c>
      <c r="E125" s="82">
        <v>171</v>
      </c>
      <c r="F125" s="82" t="s">
        <v>180</v>
      </c>
      <c r="G125" s="82" t="str">
        <f t="shared" si="43"/>
        <v>5</v>
      </c>
      <c r="H125" s="83">
        <v>46062</v>
      </c>
      <c r="I125" s="84">
        <v>3.32</v>
      </c>
      <c r="J125" s="84">
        <v>17.7</v>
      </c>
      <c r="K125" s="84"/>
      <c r="L125" s="85">
        <v>9.0399999999999991</v>
      </c>
      <c r="M125" s="86">
        <f t="shared" si="59"/>
        <v>4.4295999999999998</v>
      </c>
      <c r="N125" s="84">
        <f t="shared" si="58"/>
        <v>6.7772879999999995</v>
      </c>
      <c r="O125" s="85">
        <v>360.9</v>
      </c>
      <c r="P125" s="85">
        <v>200</v>
      </c>
      <c r="Q125" s="92">
        <f t="shared" si="60"/>
        <v>1.8045</v>
      </c>
      <c r="R125" t="e">
        <f t="shared" si="24"/>
        <v>#N/A</v>
      </c>
    </row>
    <row r="126" spans="1:18" ht="14.4" x14ac:dyDescent="0.3">
      <c r="A126" s="81" t="s">
        <v>185</v>
      </c>
      <c r="B126" s="81" t="s">
        <v>51</v>
      </c>
      <c r="C126" s="81" t="s">
        <v>139</v>
      </c>
      <c r="D126" s="82" t="s">
        <v>179</v>
      </c>
      <c r="E126" s="82">
        <v>171</v>
      </c>
      <c r="F126" s="82" t="s">
        <v>180</v>
      </c>
      <c r="G126" s="82" t="str">
        <f t="shared" si="43"/>
        <v>6</v>
      </c>
      <c r="H126" s="83">
        <v>46069</v>
      </c>
      <c r="I126" s="84">
        <v>3.32</v>
      </c>
      <c r="J126" s="84">
        <v>19</v>
      </c>
      <c r="K126" s="84"/>
      <c r="L126" s="85">
        <v>8.24</v>
      </c>
      <c r="M126" s="86">
        <f t="shared" si="59"/>
        <v>4.0376000000000003</v>
      </c>
      <c r="N126" s="84">
        <f t="shared" si="58"/>
        <v>6.1775280000000006</v>
      </c>
      <c r="O126" s="85">
        <v>399.4</v>
      </c>
      <c r="P126" s="85">
        <v>200</v>
      </c>
      <c r="Q126" s="92">
        <f t="shared" si="60"/>
        <v>1.9969999999999999</v>
      </c>
      <c r="R126" t="e">
        <f t="shared" si="24"/>
        <v>#N/A</v>
      </c>
    </row>
    <row r="127" spans="1:18" ht="14.4" x14ac:dyDescent="0.3">
      <c r="A127" s="81" t="s">
        <v>186</v>
      </c>
      <c r="B127" s="81" t="s">
        <v>51</v>
      </c>
      <c r="C127" s="81" t="s">
        <v>139</v>
      </c>
      <c r="D127" s="82" t="s">
        <v>179</v>
      </c>
      <c r="E127" s="82">
        <v>171</v>
      </c>
      <c r="F127" s="82" t="s">
        <v>180</v>
      </c>
      <c r="G127" s="82" t="str">
        <f t="shared" si="43"/>
        <v>7</v>
      </c>
      <c r="H127" s="83">
        <v>46076</v>
      </c>
      <c r="I127" s="84">
        <v>3.48</v>
      </c>
      <c r="J127" s="84">
        <v>20.9</v>
      </c>
      <c r="K127" s="84"/>
      <c r="L127" s="85">
        <v>7.02</v>
      </c>
      <c r="M127" s="86">
        <f t="shared" si="59"/>
        <v>3.4397999999999995</v>
      </c>
      <c r="N127" s="84">
        <f t="shared" si="58"/>
        <v>5.2628939999999993</v>
      </c>
      <c r="O127" s="85">
        <v>363.2</v>
      </c>
      <c r="P127" s="85">
        <v>200</v>
      </c>
      <c r="Q127" s="92">
        <f t="shared" si="60"/>
        <v>1.8159999999999998</v>
      </c>
      <c r="R127" t="e">
        <f t="shared" si="24"/>
        <v>#N/A</v>
      </c>
    </row>
    <row r="128" spans="1:18" ht="14.4" x14ac:dyDescent="0.3">
      <c r="A128" s="81" t="s">
        <v>187</v>
      </c>
      <c r="B128" s="81" t="s">
        <v>51</v>
      </c>
      <c r="C128" s="81" t="s">
        <v>139</v>
      </c>
      <c r="D128" s="82" t="s">
        <v>179</v>
      </c>
      <c r="E128" s="82">
        <v>171</v>
      </c>
      <c r="F128" s="82" t="s">
        <v>180</v>
      </c>
      <c r="G128" s="82" t="str">
        <f t="shared" si="43"/>
        <v>8</v>
      </c>
      <c r="H128" s="83">
        <v>46084</v>
      </c>
      <c r="I128" s="84">
        <v>3.5</v>
      </c>
      <c r="J128" s="84">
        <v>21.6</v>
      </c>
      <c r="K128" s="84"/>
      <c r="L128" s="85">
        <v>6.35</v>
      </c>
      <c r="M128" s="86">
        <f t="shared" si="59"/>
        <v>3.1114999999999999</v>
      </c>
      <c r="N128" s="84">
        <f t="shared" si="58"/>
        <v>4.7605950000000004</v>
      </c>
      <c r="O128" s="85">
        <v>407.7</v>
      </c>
      <c r="P128" s="85">
        <v>200</v>
      </c>
      <c r="Q128" s="92">
        <f t="shared" si="60"/>
        <v>2.0385</v>
      </c>
      <c r="R128" t="e">
        <f t="shared" ref="R128:R160" si="61">IF(OR(K128="",VALUE(K128)&gt;5),NA(),CHOOSE(VALUE(K128),17667,14967,15967,16975,14561))</f>
        <v>#N/A</v>
      </c>
    </row>
    <row r="129" spans="1:18" ht="14.4" x14ac:dyDescent="0.3">
      <c r="A129" s="81" t="s">
        <v>188</v>
      </c>
      <c r="B129" s="81" t="s">
        <v>51</v>
      </c>
      <c r="C129" s="81" t="s">
        <v>139</v>
      </c>
      <c r="D129" s="82" t="s">
        <v>179</v>
      </c>
      <c r="E129" s="82">
        <v>171</v>
      </c>
      <c r="F129" s="82" t="s">
        <v>180</v>
      </c>
      <c r="G129" s="82" t="str">
        <f t="shared" si="43"/>
        <v>9</v>
      </c>
      <c r="H129" s="83">
        <v>46090</v>
      </c>
      <c r="I129" s="84">
        <v>3.48</v>
      </c>
      <c r="J129" s="84">
        <v>22.3</v>
      </c>
      <c r="K129" s="84">
        <v>1</v>
      </c>
      <c r="L129" s="85">
        <v>6.01</v>
      </c>
      <c r="M129" s="86">
        <f t="shared" si="59"/>
        <v>2.9448999999999996</v>
      </c>
      <c r="N129" s="84">
        <f t="shared" si="58"/>
        <v>4.5056969999999996</v>
      </c>
      <c r="O129" s="85">
        <v>406.8</v>
      </c>
      <c r="P129" s="85">
        <v>200</v>
      </c>
      <c r="Q129" s="92">
        <f t="shared" si="60"/>
        <v>2.0340000000000003</v>
      </c>
      <c r="R129">
        <f t="shared" si="61"/>
        <v>17667</v>
      </c>
    </row>
    <row r="130" spans="1:18" ht="14.4" x14ac:dyDescent="0.3">
      <c r="A130" s="81" t="s">
        <v>189</v>
      </c>
      <c r="B130" s="81" t="s">
        <v>51</v>
      </c>
      <c r="C130" s="81" t="s">
        <v>139</v>
      </c>
      <c r="D130" s="82" t="s">
        <v>179</v>
      </c>
      <c r="E130" s="82">
        <v>171</v>
      </c>
      <c r="F130" s="82" t="s">
        <v>180</v>
      </c>
      <c r="G130" s="82">
        <v>10</v>
      </c>
      <c r="H130" s="83">
        <v>46097</v>
      </c>
      <c r="I130" s="84">
        <v>3.55</v>
      </c>
      <c r="J130" s="84">
        <v>22.6</v>
      </c>
      <c r="K130" s="84">
        <v>2</v>
      </c>
      <c r="L130" s="85">
        <v>5.72</v>
      </c>
      <c r="M130" s="86">
        <f t="shared" ref="M130" si="62">L130*0.49</f>
        <v>2.8028</v>
      </c>
      <c r="N130" s="84">
        <f t="shared" ref="N130" si="63">M130*1.53</f>
        <v>4.288284</v>
      </c>
      <c r="O130" s="85">
        <v>383.8</v>
      </c>
      <c r="P130" s="85">
        <v>200</v>
      </c>
      <c r="Q130" s="92">
        <f t="shared" si="60"/>
        <v>1.919</v>
      </c>
      <c r="R130">
        <f t="shared" si="61"/>
        <v>14967</v>
      </c>
    </row>
    <row r="131" spans="1:18" ht="14.4" x14ac:dyDescent="0.3">
      <c r="A131" s="81" t="s">
        <v>190</v>
      </c>
      <c r="B131" s="81" t="s">
        <v>51</v>
      </c>
      <c r="C131" s="81" t="s">
        <v>139</v>
      </c>
      <c r="D131" s="82" t="s">
        <v>179</v>
      </c>
      <c r="E131" s="82">
        <v>171</v>
      </c>
      <c r="F131" s="82" t="s">
        <v>180</v>
      </c>
      <c r="G131" s="82">
        <v>11</v>
      </c>
      <c r="H131" s="83">
        <v>46104</v>
      </c>
      <c r="I131" s="84">
        <v>3.59</v>
      </c>
      <c r="J131" s="84">
        <v>23</v>
      </c>
      <c r="K131" s="84">
        <v>3</v>
      </c>
      <c r="L131" s="85">
        <v>6.35</v>
      </c>
      <c r="M131" s="86">
        <f t="shared" ref="M131:M132" si="64">L131*0.49</f>
        <v>3.1114999999999999</v>
      </c>
      <c r="N131" s="84">
        <f t="shared" ref="N131:N132" si="65">M131*1.53</f>
        <v>4.7605950000000004</v>
      </c>
      <c r="O131" s="85">
        <v>398.9</v>
      </c>
      <c r="P131" s="85">
        <v>200</v>
      </c>
      <c r="Q131" s="92">
        <f t="shared" si="60"/>
        <v>1.9944999999999999</v>
      </c>
      <c r="R131">
        <f t="shared" si="61"/>
        <v>15967</v>
      </c>
    </row>
    <row r="132" spans="1:18" ht="14.4" x14ac:dyDescent="0.3">
      <c r="A132" s="81" t="s">
        <v>191</v>
      </c>
      <c r="B132" s="81" t="s">
        <v>51</v>
      </c>
      <c r="C132" s="81" t="s">
        <v>139</v>
      </c>
      <c r="D132" s="82" t="s">
        <v>179</v>
      </c>
      <c r="E132" s="82">
        <v>171</v>
      </c>
      <c r="F132" s="82" t="s">
        <v>180</v>
      </c>
      <c r="G132" s="82">
        <v>12</v>
      </c>
      <c r="H132" s="83">
        <v>46111</v>
      </c>
      <c r="I132" s="84">
        <v>3.59</v>
      </c>
      <c r="J132" s="84">
        <v>22.7</v>
      </c>
      <c r="K132" s="84">
        <v>4</v>
      </c>
      <c r="L132" s="85">
        <v>5.45</v>
      </c>
      <c r="M132" s="86">
        <f t="shared" si="64"/>
        <v>2.6705000000000001</v>
      </c>
      <c r="N132" s="84">
        <f t="shared" si="65"/>
        <v>4.0858650000000001</v>
      </c>
      <c r="O132" s="85">
        <v>406.3</v>
      </c>
      <c r="P132" s="85">
        <v>200</v>
      </c>
      <c r="Q132" s="92">
        <f t="shared" si="60"/>
        <v>2.0314999999999999</v>
      </c>
      <c r="R132">
        <f t="shared" si="61"/>
        <v>16975</v>
      </c>
    </row>
    <row r="133" spans="1:18" ht="14.4" x14ac:dyDescent="0.3">
      <c r="A133" s="81" t="s">
        <v>192</v>
      </c>
      <c r="B133" s="81" t="s">
        <v>51</v>
      </c>
      <c r="C133" s="81" t="s">
        <v>139</v>
      </c>
      <c r="D133" s="82" t="s">
        <v>179</v>
      </c>
      <c r="E133" s="82">
        <v>171</v>
      </c>
      <c r="F133" s="82" t="s">
        <v>180</v>
      </c>
      <c r="G133" s="82">
        <v>13</v>
      </c>
      <c r="H133" s="83">
        <v>46118</v>
      </c>
      <c r="I133" s="84">
        <v>3.62</v>
      </c>
      <c r="J133" s="84">
        <v>24.7</v>
      </c>
      <c r="K133" s="84"/>
      <c r="L133" s="85">
        <v>5.16</v>
      </c>
      <c r="M133" s="86"/>
      <c r="N133" s="84"/>
      <c r="O133" s="85">
        <v>376.5</v>
      </c>
      <c r="P133" s="85">
        <v>200</v>
      </c>
      <c r="Q133" s="92"/>
      <c r="R133" t="e">
        <f t="shared" si="61"/>
        <v>#N/A</v>
      </c>
    </row>
    <row r="134" spans="1:18" ht="14.4" x14ac:dyDescent="0.3">
      <c r="A134" s="81" t="s">
        <v>193</v>
      </c>
      <c r="B134" s="81" t="s">
        <v>19</v>
      </c>
      <c r="C134" s="81" t="s">
        <v>139</v>
      </c>
      <c r="D134" s="82" t="s">
        <v>179</v>
      </c>
      <c r="E134" s="82">
        <v>207</v>
      </c>
      <c r="F134" s="82" t="s">
        <v>194</v>
      </c>
      <c r="G134" s="82" t="str">
        <f t="shared" si="43"/>
        <v>1</v>
      </c>
      <c r="H134" s="83">
        <v>46034</v>
      </c>
      <c r="I134" s="84">
        <v>2.63</v>
      </c>
      <c r="J134" s="84">
        <v>12.1</v>
      </c>
      <c r="K134" s="84"/>
      <c r="L134" s="85">
        <v>32.82</v>
      </c>
      <c r="M134" s="86">
        <f t="shared" si="59"/>
        <v>16.081800000000001</v>
      </c>
      <c r="N134" s="84">
        <f t="shared" si="58"/>
        <v>24.605154000000002</v>
      </c>
      <c r="O134" s="85">
        <v>171.36</v>
      </c>
      <c r="P134" s="85">
        <v>200</v>
      </c>
      <c r="Q134" s="84">
        <f>O134/P134</f>
        <v>0.85680000000000012</v>
      </c>
      <c r="R134" t="e">
        <f t="shared" si="61"/>
        <v>#N/A</v>
      </c>
    </row>
    <row r="135" spans="1:18" ht="14.4" x14ac:dyDescent="0.3">
      <c r="A135" s="81" t="s">
        <v>195</v>
      </c>
      <c r="B135" s="81" t="s">
        <v>19</v>
      </c>
      <c r="C135" s="81" t="s">
        <v>139</v>
      </c>
      <c r="D135" s="82" t="s">
        <v>179</v>
      </c>
      <c r="E135" s="82">
        <v>207</v>
      </c>
      <c r="F135" s="82" t="s">
        <v>194</v>
      </c>
      <c r="G135" s="82" t="str">
        <f t="shared" si="43"/>
        <v>2</v>
      </c>
      <c r="H135" s="83">
        <v>46042</v>
      </c>
      <c r="I135" s="84">
        <v>2.94</v>
      </c>
      <c r="J135" s="84">
        <v>14.9</v>
      </c>
      <c r="K135" s="84"/>
      <c r="L135" s="85">
        <v>28.38</v>
      </c>
      <c r="M135" s="86">
        <f t="shared" si="59"/>
        <v>13.9062</v>
      </c>
      <c r="N135" s="84">
        <f t="shared" si="58"/>
        <v>21.276486000000002</v>
      </c>
      <c r="O135" s="85">
        <v>214.05</v>
      </c>
      <c r="P135" s="85">
        <v>200</v>
      </c>
      <c r="Q135" s="92">
        <f>O135/P135</f>
        <v>1.0702500000000001</v>
      </c>
      <c r="R135" t="e">
        <f t="shared" si="61"/>
        <v>#N/A</v>
      </c>
    </row>
    <row r="136" spans="1:18" ht="14.4" x14ac:dyDescent="0.3">
      <c r="A136" s="81" t="s">
        <v>196</v>
      </c>
      <c r="B136" s="81" t="s">
        <v>19</v>
      </c>
      <c r="C136" s="81" t="s">
        <v>139</v>
      </c>
      <c r="D136" s="82" t="s">
        <v>179</v>
      </c>
      <c r="E136" s="82">
        <v>207</v>
      </c>
      <c r="F136" s="82" t="s">
        <v>194</v>
      </c>
      <c r="G136" s="82" t="str">
        <f t="shared" si="43"/>
        <v>3</v>
      </c>
      <c r="H136" s="83">
        <v>46049</v>
      </c>
      <c r="I136" s="84">
        <v>2.93</v>
      </c>
      <c r="J136" s="84">
        <v>17.600000000000001</v>
      </c>
      <c r="K136" s="84"/>
      <c r="L136" s="85">
        <v>19.38</v>
      </c>
      <c r="M136" s="86">
        <f t="shared" si="59"/>
        <v>9.4962</v>
      </c>
      <c r="N136" s="84">
        <f t="shared" si="58"/>
        <v>14.529186000000001</v>
      </c>
      <c r="O136" s="85">
        <v>260.5</v>
      </c>
      <c r="P136" s="85">
        <v>200</v>
      </c>
      <c r="Q136" s="92">
        <f t="shared" ref="Q136:Q160" si="66">O136/P136</f>
        <v>1.3025</v>
      </c>
      <c r="R136" t="e">
        <f t="shared" si="61"/>
        <v>#N/A</v>
      </c>
    </row>
    <row r="137" spans="1:18" ht="14.4" x14ac:dyDescent="0.3">
      <c r="A137" s="81" t="s">
        <v>197</v>
      </c>
      <c r="B137" s="81" t="s">
        <v>19</v>
      </c>
      <c r="C137" s="81" t="s">
        <v>139</v>
      </c>
      <c r="D137" s="82" t="s">
        <v>179</v>
      </c>
      <c r="E137" s="82">
        <v>207</v>
      </c>
      <c r="F137" s="82" t="s">
        <v>194</v>
      </c>
      <c r="G137" s="82" t="str">
        <f t="shared" si="43"/>
        <v>4</v>
      </c>
      <c r="H137" s="83">
        <v>46056</v>
      </c>
      <c r="I137" s="84">
        <v>3.13</v>
      </c>
      <c r="J137" s="84">
        <v>19.3</v>
      </c>
      <c r="K137" s="84"/>
      <c r="L137" s="85">
        <v>12.8</v>
      </c>
      <c r="M137" s="86">
        <f t="shared" si="59"/>
        <v>6.2720000000000002</v>
      </c>
      <c r="N137" s="84">
        <f t="shared" si="58"/>
        <v>9.5961600000000011</v>
      </c>
      <c r="O137" s="85">
        <v>265.13</v>
      </c>
      <c r="P137" s="85">
        <v>200</v>
      </c>
      <c r="Q137" s="92">
        <f t="shared" si="66"/>
        <v>1.32565</v>
      </c>
      <c r="R137" t="e">
        <f t="shared" si="61"/>
        <v>#N/A</v>
      </c>
    </row>
    <row r="138" spans="1:18" ht="14.4" x14ac:dyDescent="0.3">
      <c r="A138" s="81" t="s">
        <v>198</v>
      </c>
      <c r="B138" s="81" t="s">
        <v>19</v>
      </c>
      <c r="C138" s="81" t="s">
        <v>139</v>
      </c>
      <c r="D138" s="82" t="s">
        <v>179</v>
      </c>
      <c r="E138" s="82">
        <v>207</v>
      </c>
      <c r="F138" s="82" t="s">
        <v>194</v>
      </c>
      <c r="G138" s="82" t="str">
        <f t="shared" si="43"/>
        <v>5</v>
      </c>
      <c r="H138" s="83">
        <v>46062</v>
      </c>
      <c r="I138" s="84">
        <v>3.12</v>
      </c>
      <c r="J138" s="84">
        <v>20.2</v>
      </c>
      <c r="K138" s="84"/>
      <c r="L138" s="85">
        <v>12.52</v>
      </c>
      <c r="M138" s="86">
        <f t="shared" si="59"/>
        <v>6.1347999999999994</v>
      </c>
      <c r="N138" s="84">
        <f t="shared" si="58"/>
        <v>9.3862439999999996</v>
      </c>
      <c r="O138" s="85">
        <v>279.7</v>
      </c>
      <c r="P138" s="85">
        <v>200</v>
      </c>
      <c r="Q138" s="92">
        <f t="shared" si="66"/>
        <v>1.3984999999999999</v>
      </c>
      <c r="R138" t="e">
        <f t="shared" si="61"/>
        <v>#N/A</v>
      </c>
    </row>
    <row r="139" spans="1:18" ht="14.4" x14ac:dyDescent="0.3">
      <c r="A139" s="81" t="s">
        <v>199</v>
      </c>
      <c r="B139" s="81" t="s">
        <v>19</v>
      </c>
      <c r="C139" s="81" t="s">
        <v>139</v>
      </c>
      <c r="D139" s="82" t="s">
        <v>179</v>
      </c>
      <c r="E139" s="82">
        <v>207</v>
      </c>
      <c r="F139" s="82" t="s">
        <v>194</v>
      </c>
      <c r="G139" s="82" t="str">
        <f t="shared" si="43"/>
        <v>6</v>
      </c>
      <c r="H139" s="83">
        <v>46069</v>
      </c>
      <c r="I139" s="84" t="s">
        <v>200</v>
      </c>
      <c r="J139" s="84">
        <v>21.9</v>
      </c>
      <c r="K139" s="84"/>
      <c r="L139" s="85">
        <v>11.84</v>
      </c>
      <c r="M139" s="86">
        <f t="shared" si="59"/>
        <v>5.8015999999999996</v>
      </c>
      <c r="N139" s="84">
        <f t="shared" si="58"/>
        <v>8.8764479999999999</v>
      </c>
      <c r="O139" s="85">
        <v>294.5</v>
      </c>
      <c r="P139" s="85">
        <v>200</v>
      </c>
      <c r="Q139" s="92">
        <f t="shared" si="66"/>
        <v>1.4724999999999999</v>
      </c>
      <c r="R139" t="e">
        <f t="shared" si="61"/>
        <v>#N/A</v>
      </c>
    </row>
    <row r="140" spans="1:18" ht="14.4" x14ac:dyDescent="0.3">
      <c r="A140" s="81" t="s">
        <v>201</v>
      </c>
      <c r="B140" s="81" t="s">
        <v>19</v>
      </c>
      <c r="C140" s="81" t="s">
        <v>139</v>
      </c>
      <c r="D140" s="82" t="s">
        <v>179</v>
      </c>
      <c r="E140" s="82">
        <v>207</v>
      </c>
      <c r="F140" s="82" t="s">
        <v>194</v>
      </c>
      <c r="G140" s="82" t="str">
        <f t="shared" si="43"/>
        <v>7</v>
      </c>
      <c r="H140" s="83">
        <v>46076</v>
      </c>
      <c r="I140" s="84">
        <v>3.25</v>
      </c>
      <c r="J140" s="84">
        <v>23</v>
      </c>
      <c r="K140" s="84">
        <v>1</v>
      </c>
      <c r="L140" s="85">
        <v>9.6</v>
      </c>
      <c r="M140" s="86">
        <f t="shared" si="59"/>
        <v>4.7039999999999997</v>
      </c>
      <c r="N140" s="84">
        <f t="shared" si="58"/>
        <v>7.19712</v>
      </c>
      <c r="O140" s="85">
        <v>277.60000000000002</v>
      </c>
      <c r="P140" s="85">
        <v>200</v>
      </c>
      <c r="Q140" s="92">
        <f t="shared" si="66"/>
        <v>1.3880000000000001</v>
      </c>
      <c r="R140">
        <f t="shared" si="61"/>
        <v>17667</v>
      </c>
    </row>
    <row r="141" spans="1:18" ht="14.4" x14ac:dyDescent="0.3">
      <c r="A141" s="81" t="s">
        <v>202</v>
      </c>
      <c r="B141" s="81" t="s">
        <v>19</v>
      </c>
      <c r="C141" s="81" t="s">
        <v>139</v>
      </c>
      <c r="D141" s="82" t="s">
        <v>179</v>
      </c>
      <c r="E141" s="82">
        <v>207</v>
      </c>
      <c r="F141" s="82" t="s">
        <v>194</v>
      </c>
      <c r="G141" s="82" t="str">
        <f t="shared" si="43"/>
        <v>8</v>
      </c>
      <c r="H141" s="83">
        <v>46085</v>
      </c>
      <c r="I141" s="84">
        <v>3.28</v>
      </c>
      <c r="J141" s="84">
        <v>23.4</v>
      </c>
      <c r="K141" s="84"/>
      <c r="L141" s="85">
        <v>9.39</v>
      </c>
      <c r="M141" s="86">
        <f t="shared" si="59"/>
        <v>4.6011000000000006</v>
      </c>
      <c r="N141" s="84">
        <f t="shared" si="58"/>
        <v>7.039683000000001</v>
      </c>
      <c r="O141" s="85">
        <v>305.5</v>
      </c>
      <c r="P141" s="85">
        <v>200</v>
      </c>
      <c r="Q141" s="92">
        <f t="shared" si="66"/>
        <v>1.5275000000000001</v>
      </c>
      <c r="R141" t="e">
        <f t="shared" si="61"/>
        <v>#N/A</v>
      </c>
    </row>
    <row r="142" spans="1:18" ht="14.4" x14ac:dyDescent="0.3">
      <c r="A142" s="81" t="s">
        <v>203</v>
      </c>
      <c r="B142" s="81" t="s">
        <v>19</v>
      </c>
      <c r="C142" s="81" t="s">
        <v>139</v>
      </c>
      <c r="D142" s="82" t="s">
        <v>179</v>
      </c>
      <c r="E142" s="82">
        <v>207</v>
      </c>
      <c r="F142" s="82" t="s">
        <v>194</v>
      </c>
      <c r="G142" s="82" t="str">
        <f t="shared" si="43"/>
        <v>9</v>
      </c>
      <c r="H142" s="83">
        <v>46093</v>
      </c>
      <c r="I142" s="84">
        <v>3.2</v>
      </c>
      <c r="J142" s="84">
        <v>23.8</v>
      </c>
      <c r="K142" s="84">
        <v>2</v>
      </c>
      <c r="L142" s="85">
        <v>9</v>
      </c>
      <c r="M142" s="86">
        <f t="shared" si="59"/>
        <v>4.41</v>
      </c>
      <c r="N142" s="84">
        <f t="shared" si="58"/>
        <v>6.7473000000000001</v>
      </c>
      <c r="O142" s="85">
        <v>303.2</v>
      </c>
      <c r="P142" s="85">
        <v>200</v>
      </c>
      <c r="Q142" s="92">
        <f t="shared" si="66"/>
        <v>1.516</v>
      </c>
      <c r="R142">
        <f t="shared" si="61"/>
        <v>14967</v>
      </c>
    </row>
    <row r="143" spans="1:18" ht="15" customHeight="1" x14ac:dyDescent="0.3">
      <c r="A143" s="81" t="s">
        <v>204</v>
      </c>
      <c r="B143" s="81" t="s">
        <v>19</v>
      </c>
      <c r="C143" s="81" t="s">
        <v>139</v>
      </c>
      <c r="D143" s="82" t="s">
        <v>179</v>
      </c>
      <c r="E143" s="82">
        <v>207</v>
      </c>
      <c r="F143" s="82" t="s">
        <v>194</v>
      </c>
      <c r="G143" s="93">
        <v>10</v>
      </c>
      <c r="H143" s="83">
        <v>46100</v>
      </c>
      <c r="I143" s="84">
        <v>3.39</v>
      </c>
      <c r="J143" s="84">
        <v>23.3</v>
      </c>
      <c r="K143" s="84"/>
      <c r="L143" s="85">
        <v>8.25</v>
      </c>
      <c r="M143" s="86">
        <f t="shared" si="59"/>
        <v>4.0424999999999995</v>
      </c>
      <c r="N143" s="84">
        <f t="shared" si="58"/>
        <v>6.1850249999999996</v>
      </c>
      <c r="O143" s="85">
        <v>310.8</v>
      </c>
      <c r="P143" s="85">
        <v>200</v>
      </c>
      <c r="Q143" s="92">
        <f t="shared" si="66"/>
        <v>1.554</v>
      </c>
      <c r="R143" t="e">
        <f t="shared" si="61"/>
        <v>#N/A</v>
      </c>
    </row>
    <row r="144" spans="1:18" ht="15" customHeight="1" x14ac:dyDescent="0.3">
      <c r="A144" s="81" t="s">
        <v>205</v>
      </c>
      <c r="B144" s="81" t="s">
        <v>19</v>
      </c>
      <c r="C144" s="81" t="s">
        <v>139</v>
      </c>
      <c r="D144" s="82" t="s">
        <v>179</v>
      </c>
      <c r="E144" s="82">
        <v>207</v>
      </c>
      <c r="F144" s="82" t="s">
        <v>194</v>
      </c>
      <c r="G144" s="93">
        <v>11</v>
      </c>
      <c r="H144" s="83">
        <v>46107</v>
      </c>
      <c r="I144" s="95">
        <v>3.16</v>
      </c>
      <c r="J144" s="95">
        <v>24</v>
      </c>
      <c r="K144" s="95">
        <v>3</v>
      </c>
      <c r="L144" s="85">
        <v>10.39</v>
      </c>
      <c r="M144" s="86">
        <f t="shared" ref="M144" si="67">L144*0.49</f>
        <v>5.0911</v>
      </c>
      <c r="N144" s="84">
        <f t="shared" ref="N144" si="68">M144*1.53</f>
        <v>7.7893829999999999</v>
      </c>
      <c r="O144" s="85">
        <v>298.8</v>
      </c>
      <c r="P144" s="85">
        <v>200</v>
      </c>
      <c r="Q144" s="92">
        <f t="shared" si="66"/>
        <v>1.494</v>
      </c>
      <c r="R144">
        <f t="shared" si="61"/>
        <v>15967</v>
      </c>
    </row>
    <row r="145" spans="1:18" ht="15" customHeight="1" x14ac:dyDescent="0.3">
      <c r="A145" s="81" t="s">
        <v>206</v>
      </c>
      <c r="B145" s="81" t="s">
        <v>19</v>
      </c>
      <c r="C145" s="81" t="s">
        <v>139</v>
      </c>
      <c r="D145" s="82" t="s">
        <v>179</v>
      </c>
      <c r="E145" s="82">
        <v>207</v>
      </c>
      <c r="F145" s="82" t="s">
        <v>194</v>
      </c>
      <c r="G145" s="93">
        <v>12</v>
      </c>
      <c r="H145" s="83">
        <v>46121</v>
      </c>
      <c r="I145" s="95">
        <v>3.23</v>
      </c>
      <c r="J145" s="95">
        <v>25.2</v>
      </c>
      <c r="K145" s="95"/>
      <c r="L145" s="85">
        <v>8.5399999999999991</v>
      </c>
      <c r="M145" s="86">
        <f t="shared" ref="M145:M146" si="69">L145*0.49</f>
        <v>4.1845999999999997</v>
      </c>
      <c r="N145" s="84">
        <f t="shared" ref="N145:N146" si="70">M145*1.53</f>
        <v>6.4024379999999992</v>
      </c>
      <c r="O145" s="85">
        <v>275.3</v>
      </c>
      <c r="P145" s="85">
        <v>200</v>
      </c>
      <c r="Q145" s="92">
        <f t="shared" si="66"/>
        <v>1.3765000000000001</v>
      </c>
      <c r="R145" t="e">
        <f t="shared" si="61"/>
        <v>#N/A</v>
      </c>
    </row>
    <row r="146" spans="1:18" ht="15" customHeight="1" x14ac:dyDescent="0.3">
      <c r="A146" s="81" t="s">
        <v>207</v>
      </c>
      <c r="B146" s="81" t="s">
        <v>19</v>
      </c>
      <c r="C146" s="81" t="s">
        <v>139</v>
      </c>
      <c r="D146" s="82" t="s">
        <v>179</v>
      </c>
      <c r="E146" s="82">
        <v>207</v>
      </c>
      <c r="F146" s="82" t="s">
        <v>194</v>
      </c>
      <c r="G146" s="93">
        <v>13</v>
      </c>
      <c r="H146" s="83">
        <v>46129</v>
      </c>
      <c r="I146" s="95">
        <v>3.37</v>
      </c>
      <c r="J146" s="95">
        <v>23.5</v>
      </c>
      <c r="K146" s="95">
        <v>4</v>
      </c>
      <c r="L146" s="85">
        <v>8.4700000000000006</v>
      </c>
      <c r="M146" s="86">
        <f t="shared" si="69"/>
        <v>4.1503000000000005</v>
      </c>
      <c r="N146" s="84">
        <f t="shared" si="70"/>
        <v>6.349959000000001</v>
      </c>
      <c r="O146" s="85">
        <v>331.5</v>
      </c>
      <c r="P146" s="85">
        <v>200</v>
      </c>
      <c r="Q146" s="92">
        <f t="shared" si="66"/>
        <v>1.6575</v>
      </c>
      <c r="R146">
        <f t="shared" si="61"/>
        <v>16975</v>
      </c>
    </row>
    <row r="147" spans="1:18" ht="15" customHeight="1" x14ac:dyDescent="0.3">
      <c r="A147" s="81" t="s">
        <v>208</v>
      </c>
      <c r="B147" s="81" t="s">
        <v>19</v>
      </c>
      <c r="C147" s="81" t="s">
        <v>139</v>
      </c>
      <c r="D147" s="82" t="s">
        <v>179</v>
      </c>
      <c r="E147" s="82">
        <v>207</v>
      </c>
      <c r="F147" s="82" t="s">
        <v>194</v>
      </c>
      <c r="G147" s="93">
        <v>14</v>
      </c>
      <c r="H147" s="83">
        <v>46135</v>
      </c>
      <c r="I147" s="95" t="s">
        <v>209</v>
      </c>
      <c r="J147" s="95">
        <v>24.8</v>
      </c>
      <c r="K147" s="95">
        <v>5</v>
      </c>
      <c r="L147" s="85">
        <v>7.8</v>
      </c>
      <c r="M147" s="86">
        <f t="shared" ref="M147" si="71">L147*0.49</f>
        <v>3.8220000000000001</v>
      </c>
      <c r="N147" s="84">
        <f t="shared" ref="N147" si="72">M147*1.53</f>
        <v>5.8476600000000003</v>
      </c>
      <c r="O147" s="85">
        <v>298.8</v>
      </c>
      <c r="P147" s="85">
        <v>200</v>
      </c>
      <c r="Q147" s="92">
        <f t="shared" si="66"/>
        <v>1.494</v>
      </c>
      <c r="R147">
        <f t="shared" si="61"/>
        <v>14561</v>
      </c>
    </row>
    <row r="148" spans="1:18" ht="14.4" x14ac:dyDescent="0.3">
      <c r="A148" s="81" t="s">
        <v>210</v>
      </c>
      <c r="B148" s="81" t="s">
        <v>51</v>
      </c>
      <c r="C148" s="81" t="s">
        <v>104</v>
      </c>
      <c r="D148" s="81" t="s">
        <v>211</v>
      </c>
      <c r="E148" s="81">
        <v>24</v>
      </c>
      <c r="F148" s="81">
        <v>369</v>
      </c>
      <c r="G148" s="82" t="str">
        <f t="shared" si="43"/>
        <v>1</v>
      </c>
      <c r="H148" s="83">
        <v>46051</v>
      </c>
      <c r="I148" s="81">
        <v>3.28</v>
      </c>
      <c r="J148" s="81">
        <v>15.9</v>
      </c>
      <c r="K148" s="81"/>
      <c r="L148" s="85">
        <v>11.4</v>
      </c>
      <c r="M148" s="86">
        <f t="shared" si="59"/>
        <v>5.5860000000000003</v>
      </c>
      <c r="N148" s="84">
        <f t="shared" si="58"/>
        <v>8.5465800000000005</v>
      </c>
      <c r="O148" s="85">
        <v>315.31</v>
      </c>
      <c r="P148" s="85">
        <v>200</v>
      </c>
      <c r="Q148" s="92">
        <f t="shared" si="66"/>
        <v>1.5765500000000001</v>
      </c>
      <c r="R148" t="e">
        <f t="shared" si="61"/>
        <v>#N/A</v>
      </c>
    </row>
    <row r="149" spans="1:18" ht="14.4" x14ac:dyDescent="0.3">
      <c r="A149" s="81" t="s">
        <v>212</v>
      </c>
      <c r="B149" s="81" t="s">
        <v>51</v>
      </c>
      <c r="C149" s="81" t="s">
        <v>104</v>
      </c>
      <c r="D149" s="81" t="s">
        <v>211</v>
      </c>
      <c r="E149" s="81">
        <v>24</v>
      </c>
      <c r="F149" s="81">
        <v>369</v>
      </c>
      <c r="G149" s="82" t="str">
        <f t="shared" si="43"/>
        <v>2</v>
      </c>
      <c r="H149" s="83">
        <v>46057</v>
      </c>
      <c r="I149" s="81">
        <v>3.33</v>
      </c>
      <c r="J149" s="81">
        <v>17.600000000000001</v>
      </c>
      <c r="K149" s="81"/>
      <c r="L149" s="85">
        <v>9.3800000000000008</v>
      </c>
      <c r="M149" s="86">
        <f t="shared" si="59"/>
        <v>4.5962000000000005</v>
      </c>
      <c r="N149" s="84">
        <f t="shared" si="58"/>
        <v>7.0321860000000012</v>
      </c>
      <c r="O149" s="85">
        <v>360.6</v>
      </c>
      <c r="P149" s="85">
        <v>200</v>
      </c>
      <c r="Q149" s="92">
        <f t="shared" si="66"/>
        <v>1.8030000000000002</v>
      </c>
      <c r="R149" t="e">
        <f t="shared" si="61"/>
        <v>#N/A</v>
      </c>
    </row>
    <row r="150" spans="1:18" ht="14.4" x14ac:dyDescent="0.3">
      <c r="A150" s="81" t="s">
        <v>213</v>
      </c>
      <c r="B150" s="81" t="s">
        <v>51</v>
      </c>
      <c r="C150" s="81" t="s">
        <v>104</v>
      </c>
      <c r="D150" s="81" t="s">
        <v>211</v>
      </c>
      <c r="E150" s="81">
        <v>24</v>
      </c>
      <c r="F150" s="81">
        <v>369</v>
      </c>
      <c r="G150" s="82" t="str">
        <f t="shared" si="43"/>
        <v>3</v>
      </c>
      <c r="H150" s="83">
        <v>46064</v>
      </c>
      <c r="I150" s="81">
        <v>3.49</v>
      </c>
      <c r="J150" s="81">
        <v>19.100000000000001</v>
      </c>
      <c r="K150" s="81"/>
      <c r="L150" s="85">
        <v>7.92</v>
      </c>
      <c r="M150" s="86">
        <f t="shared" si="59"/>
        <v>3.8807999999999998</v>
      </c>
      <c r="N150" s="84">
        <f t="shared" si="58"/>
        <v>5.9376239999999996</v>
      </c>
      <c r="O150" s="85">
        <v>379.2</v>
      </c>
      <c r="P150" s="85">
        <v>200</v>
      </c>
      <c r="Q150" s="92">
        <f t="shared" si="66"/>
        <v>1.8959999999999999</v>
      </c>
      <c r="R150" t="e">
        <f t="shared" si="61"/>
        <v>#N/A</v>
      </c>
    </row>
    <row r="151" spans="1:18" ht="14.4" x14ac:dyDescent="0.3">
      <c r="A151" s="81" t="s">
        <v>214</v>
      </c>
      <c r="B151" s="81" t="s">
        <v>51</v>
      </c>
      <c r="C151" s="81" t="s">
        <v>104</v>
      </c>
      <c r="D151" s="81" t="s">
        <v>211</v>
      </c>
      <c r="E151" s="81">
        <v>24</v>
      </c>
      <c r="F151" s="81">
        <v>369</v>
      </c>
      <c r="G151" s="82" t="str">
        <f t="shared" si="43"/>
        <v>4</v>
      </c>
      <c r="H151" s="83">
        <v>46071</v>
      </c>
      <c r="I151" s="81">
        <v>3.5</v>
      </c>
      <c r="J151" s="81">
        <v>20.7</v>
      </c>
      <c r="K151" s="81"/>
      <c r="L151" s="85">
        <v>7.2</v>
      </c>
      <c r="M151" s="86">
        <f t="shared" si="59"/>
        <v>3.528</v>
      </c>
      <c r="N151" s="84">
        <f t="shared" si="58"/>
        <v>5.3978400000000004</v>
      </c>
      <c r="O151" s="85">
        <v>380.7</v>
      </c>
      <c r="P151" s="85">
        <v>200</v>
      </c>
      <c r="Q151" s="92">
        <f t="shared" si="66"/>
        <v>1.9035</v>
      </c>
      <c r="R151" t="e">
        <f t="shared" si="61"/>
        <v>#N/A</v>
      </c>
    </row>
    <row r="152" spans="1:18" ht="14.4" x14ac:dyDescent="0.3">
      <c r="A152" s="81" t="s">
        <v>215</v>
      </c>
      <c r="B152" s="81" t="s">
        <v>51</v>
      </c>
      <c r="C152" s="81" t="s">
        <v>104</v>
      </c>
      <c r="D152" s="81" t="s">
        <v>211</v>
      </c>
      <c r="E152" s="81">
        <v>24</v>
      </c>
      <c r="F152" s="81">
        <v>369</v>
      </c>
      <c r="G152" s="82" t="str">
        <f t="shared" si="43"/>
        <v>5</v>
      </c>
      <c r="H152" s="83">
        <v>46078</v>
      </c>
      <c r="I152" s="81">
        <v>3.62</v>
      </c>
      <c r="J152" s="81">
        <v>22</v>
      </c>
      <c r="K152" s="81"/>
      <c r="L152" s="85">
        <v>6</v>
      </c>
      <c r="M152" s="86">
        <f t="shared" si="59"/>
        <v>2.94</v>
      </c>
      <c r="N152" s="84">
        <f t="shared" si="58"/>
        <v>4.4981999999999998</v>
      </c>
      <c r="O152" s="85">
        <v>384.7</v>
      </c>
      <c r="P152" s="85">
        <v>200</v>
      </c>
      <c r="Q152" s="92">
        <f t="shared" si="66"/>
        <v>1.9235</v>
      </c>
      <c r="R152" t="e">
        <f t="shared" si="61"/>
        <v>#N/A</v>
      </c>
    </row>
    <row r="153" spans="1:18" ht="14.4" x14ac:dyDescent="0.3">
      <c r="A153" s="81" t="s">
        <v>216</v>
      </c>
      <c r="B153" s="81" t="s">
        <v>51</v>
      </c>
      <c r="C153" s="81" t="s">
        <v>104</v>
      </c>
      <c r="D153" s="81" t="s">
        <v>211</v>
      </c>
      <c r="E153" s="81">
        <v>24</v>
      </c>
      <c r="F153" s="81">
        <v>369</v>
      </c>
      <c r="G153" s="82" t="str">
        <f t="shared" si="43"/>
        <v>6</v>
      </c>
      <c r="H153" s="83">
        <v>46085</v>
      </c>
      <c r="I153" s="81">
        <v>3.68</v>
      </c>
      <c r="J153" s="81">
        <v>22.7</v>
      </c>
      <c r="K153" s="81"/>
      <c r="L153" s="85">
        <v>5.18</v>
      </c>
      <c r="M153" s="86">
        <f t="shared" si="59"/>
        <v>2.5381999999999998</v>
      </c>
      <c r="N153" s="84">
        <f t="shared" si="58"/>
        <v>3.8834459999999997</v>
      </c>
      <c r="O153" s="85">
        <v>374.8</v>
      </c>
      <c r="P153" s="85">
        <v>200</v>
      </c>
      <c r="Q153" s="92">
        <f t="shared" si="66"/>
        <v>1.8740000000000001</v>
      </c>
      <c r="R153" t="e">
        <f t="shared" si="61"/>
        <v>#N/A</v>
      </c>
    </row>
    <row r="154" spans="1:18" ht="14.4" x14ac:dyDescent="0.3">
      <c r="A154" s="81" t="s">
        <v>217</v>
      </c>
      <c r="B154" s="81" t="s">
        <v>51</v>
      </c>
      <c r="C154" s="81" t="s">
        <v>104</v>
      </c>
      <c r="D154" s="81" t="s">
        <v>211</v>
      </c>
      <c r="E154" s="81">
        <v>24</v>
      </c>
      <c r="F154" s="81">
        <v>369</v>
      </c>
      <c r="G154" s="82" t="str">
        <f t="shared" si="43"/>
        <v>7</v>
      </c>
      <c r="H154" s="83">
        <v>46092</v>
      </c>
      <c r="I154" s="81">
        <v>3.84</v>
      </c>
      <c r="J154" s="81">
        <v>23.2</v>
      </c>
      <c r="K154" s="81"/>
      <c r="L154" s="85">
        <v>4.8899999999999997</v>
      </c>
      <c r="M154" s="86">
        <f t="shared" si="59"/>
        <v>2.3960999999999997</v>
      </c>
      <c r="N154" s="84">
        <f t="shared" si="58"/>
        <v>3.6660329999999997</v>
      </c>
      <c r="O154" s="85">
        <v>384</v>
      </c>
      <c r="P154" s="85">
        <v>200</v>
      </c>
      <c r="Q154" s="92">
        <f t="shared" si="66"/>
        <v>1.92</v>
      </c>
      <c r="R154" t="e">
        <f t="shared" si="61"/>
        <v>#N/A</v>
      </c>
    </row>
    <row r="155" spans="1:18" ht="14.4" x14ac:dyDescent="0.3">
      <c r="A155" s="81" t="s">
        <v>218</v>
      </c>
      <c r="B155" s="81" t="s">
        <v>51</v>
      </c>
      <c r="C155" s="81" t="s">
        <v>104</v>
      </c>
      <c r="D155" s="81" t="s">
        <v>211</v>
      </c>
      <c r="E155" s="81">
        <v>24</v>
      </c>
      <c r="F155" s="81">
        <v>369</v>
      </c>
      <c r="G155" s="81" t="str">
        <f t="shared" si="43"/>
        <v>8</v>
      </c>
      <c r="H155" s="83">
        <v>46099</v>
      </c>
      <c r="I155" s="81">
        <v>3.83</v>
      </c>
      <c r="J155" s="81">
        <v>23.7</v>
      </c>
      <c r="K155" s="81"/>
      <c r="L155" s="85">
        <v>4.43</v>
      </c>
      <c r="M155" s="86">
        <f t="shared" si="59"/>
        <v>2.1706999999999996</v>
      </c>
      <c r="N155" s="84">
        <f t="shared" si="58"/>
        <v>3.3211709999999997</v>
      </c>
      <c r="O155" s="85">
        <v>376.7</v>
      </c>
      <c r="P155" s="85">
        <v>200</v>
      </c>
      <c r="Q155" s="92">
        <f t="shared" si="66"/>
        <v>1.8835</v>
      </c>
      <c r="R155" t="e">
        <f t="shared" si="61"/>
        <v>#N/A</v>
      </c>
    </row>
    <row r="156" spans="1:18" ht="14.4" x14ac:dyDescent="0.3">
      <c r="A156" s="81" t="s">
        <v>219</v>
      </c>
      <c r="B156" s="81" t="s">
        <v>51</v>
      </c>
      <c r="C156" s="81" t="s">
        <v>104</v>
      </c>
      <c r="D156" s="81" t="s">
        <v>211</v>
      </c>
      <c r="E156" s="81">
        <v>24</v>
      </c>
      <c r="F156" s="81">
        <v>369</v>
      </c>
      <c r="G156" s="81" t="str">
        <f t="shared" si="43"/>
        <v>9</v>
      </c>
      <c r="H156" s="83">
        <v>46105</v>
      </c>
      <c r="I156" s="81">
        <v>3.85</v>
      </c>
      <c r="J156" s="81">
        <v>23.9</v>
      </c>
      <c r="K156" s="81"/>
      <c r="L156" s="85">
        <v>4.1100000000000003</v>
      </c>
      <c r="M156" s="86">
        <f t="shared" si="59"/>
        <v>2.0139</v>
      </c>
      <c r="N156" s="84">
        <f t="shared" si="58"/>
        <v>3.081267</v>
      </c>
      <c r="O156" s="85">
        <v>402.7</v>
      </c>
      <c r="P156" s="85">
        <v>200</v>
      </c>
      <c r="Q156" s="92">
        <f t="shared" si="66"/>
        <v>2.0135000000000001</v>
      </c>
      <c r="R156" t="e">
        <f t="shared" si="61"/>
        <v>#N/A</v>
      </c>
    </row>
    <row r="157" spans="1:18" ht="14.4" x14ac:dyDescent="0.3">
      <c r="A157" s="81" t="s">
        <v>220</v>
      </c>
      <c r="B157" s="81" t="s">
        <v>51</v>
      </c>
      <c r="C157" s="81" t="s">
        <v>104</v>
      </c>
      <c r="D157" s="81" t="s">
        <v>211</v>
      </c>
      <c r="E157" s="81">
        <v>24</v>
      </c>
      <c r="F157" s="81">
        <v>369</v>
      </c>
      <c r="G157" s="81">
        <v>10</v>
      </c>
      <c r="H157" s="99">
        <v>46113</v>
      </c>
      <c r="I157" s="93">
        <v>3.8</v>
      </c>
      <c r="J157" s="93">
        <v>24.1</v>
      </c>
      <c r="K157" s="93"/>
      <c r="L157" s="98">
        <v>4.3</v>
      </c>
      <c r="M157" s="86">
        <f t="shared" ref="M157:M158" si="73">L157*0.49</f>
        <v>2.1069999999999998</v>
      </c>
      <c r="N157" s="84">
        <f t="shared" ref="N157:N158" si="74">M157*1.53</f>
        <v>3.2237099999999996</v>
      </c>
      <c r="O157" s="98">
        <v>377.1</v>
      </c>
      <c r="P157" s="98">
        <v>200</v>
      </c>
      <c r="Q157" s="92">
        <f t="shared" si="66"/>
        <v>1.8855000000000002</v>
      </c>
      <c r="R157" t="e">
        <f t="shared" si="61"/>
        <v>#N/A</v>
      </c>
    </row>
    <row r="158" spans="1:18" ht="14.4" x14ac:dyDescent="0.3">
      <c r="A158" s="81" t="s">
        <v>221</v>
      </c>
      <c r="B158" s="81" t="s">
        <v>51</v>
      </c>
      <c r="C158" s="81" t="s">
        <v>104</v>
      </c>
      <c r="D158" s="81" t="s">
        <v>211</v>
      </c>
      <c r="E158" s="81">
        <v>24</v>
      </c>
      <c r="F158" s="81">
        <v>369</v>
      </c>
      <c r="G158" s="81">
        <v>11</v>
      </c>
      <c r="H158" s="99">
        <v>46120</v>
      </c>
      <c r="I158" s="93">
        <v>3.84</v>
      </c>
      <c r="J158" s="93">
        <v>24.5</v>
      </c>
      <c r="K158" s="93"/>
      <c r="L158" s="98">
        <v>4.49</v>
      </c>
      <c r="M158" s="86">
        <f t="shared" si="73"/>
        <v>2.2000999999999999</v>
      </c>
      <c r="N158" s="84">
        <f t="shared" si="74"/>
        <v>3.3661530000000002</v>
      </c>
      <c r="O158" s="98">
        <v>382.5</v>
      </c>
      <c r="P158" s="98">
        <v>200</v>
      </c>
      <c r="Q158" s="92">
        <f t="shared" si="66"/>
        <v>1.9125000000000001</v>
      </c>
      <c r="R158" t="e">
        <f t="shared" si="61"/>
        <v>#N/A</v>
      </c>
    </row>
    <row r="159" spans="1:18" ht="14.4" x14ac:dyDescent="0.3">
      <c r="A159" s="81" t="s">
        <v>222</v>
      </c>
      <c r="B159" s="81" t="s">
        <v>51</v>
      </c>
      <c r="C159" s="81" t="s">
        <v>104</v>
      </c>
      <c r="D159" s="81" t="s">
        <v>211</v>
      </c>
      <c r="E159" s="81">
        <v>24</v>
      </c>
      <c r="F159" s="81">
        <v>369</v>
      </c>
      <c r="G159" s="81">
        <v>12</v>
      </c>
      <c r="H159" s="99">
        <v>46127</v>
      </c>
      <c r="I159" s="93">
        <v>3.83</v>
      </c>
      <c r="J159" s="93">
        <v>25.1</v>
      </c>
      <c r="K159" s="93"/>
      <c r="L159" s="98">
        <v>4.34</v>
      </c>
      <c r="M159" s="86">
        <f t="shared" ref="M159:M160" si="75">L159*0.49</f>
        <v>2.1265999999999998</v>
      </c>
      <c r="N159" s="84">
        <f t="shared" ref="N159:N160" si="76">M159*1.53</f>
        <v>3.253698</v>
      </c>
      <c r="O159" s="98">
        <v>392.7</v>
      </c>
      <c r="P159" s="98">
        <v>200</v>
      </c>
      <c r="Q159" s="92">
        <f t="shared" si="66"/>
        <v>1.9635</v>
      </c>
      <c r="R159" t="e">
        <f t="shared" si="61"/>
        <v>#N/A</v>
      </c>
    </row>
    <row r="160" spans="1:18" ht="14.4" x14ac:dyDescent="0.3">
      <c r="A160" s="81" t="s">
        <v>223</v>
      </c>
      <c r="B160" s="81" t="s">
        <v>51</v>
      </c>
      <c r="C160" s="81" t="s">
        <v>104</v>
      </c>
      <c r="D160" s="81" t="s">
        <v>211</v>
      </c>
      <c r="E160" s="81">
        <v>24</v>
      </c>
      <c r="F160" s="81">
        <v>369</v>
      </c>
      <c r="G160" s="81">
        <v>13</v>
      </c>
      <c r="H160" s="99">
        <v>46134</v>
      </c>
      <c r="I160" s="93">
        <v>3.88</v>
      </c>
      <c r="J160" s="93">
        <v>25.6</v>
      </c>
      <c r="K160" s="93"/>
      <c r="L160" s="98">
        <v>3.95</v>
      </c>
      <c r="M160" s="86">
        <f t="shared" si="75"/>
        <v>1.9355</v>
      </c>
      <c r="N160" s="84">
        <f t="shared" si="76"/>
        <v>2.9613149999999999</v>
      </c>
      <c r="O160" s="98">
        <v>389.8</v>
      </c>
      <c r="P160" s="98">
        <v>200</v>
      </c>
      <c r="Q160" s="92">
        <f t="shared" si="66"/>
        <v>1.9490000000000001</v>
      </c>
      <c r="R160" t="e">
        <f t="shared" si="61"/>
        <v>#N/A</v>
      </c>
    </row>
    <row r="161" spans="16:16" ht="14.4" x14ac:dyDescent="0.3"/>
    <row r="162" spans="16:16" ht="14.4" x14ac:dyDescent="0.3">
      <c r="P162" s="1" t="s">
        <v>224</v>
      </c>
    </row>
  </sheetData>
  <autoFilter ref="A1:S160" xr:uid="{D450230A-E414-4090-97E6-6A4DD0CCDE3F}"/>
  <conditionalFormatting sqref="J1:K1048576">
    <cfRule type="cellIs" dxfId="0" priority="1" operator="greaterThan">
      <formula>21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525B-291E-483C-8656-0BF39704BAD0}">
  <sheetPr codeName="Hoja2">
    <tabColor rgb="FFFFFF00"/>
  </sheetPr>
  <dimension ref="A2:O30"/>
  <sheetViews>
    <sheetView topLeftCell="A11" workbookViewId="0">
      <selection activeCell="O17" sqref="O17"/>
    </sheetView>
  </sheetViews>
  <sheetFormatPr baseColWidth="10" defaultColWidth="8.88671875" defaultRowHeight="14.4" x14ac:dyDescent="0.3"/>
  <cols>
    <col min="1" max="1" width="22.5546875" bestFit="1" customWidth="1"/>
    <col min="2" max="2" width="18.5546875" bestFit="1" customWidth="1"/>
    <col min="3" max="3" width="18.5546875" customWidth="1"/>
    <col min="4" max="4" width="8" bestFit="1" customWidth="1"/>
    <col min="7" max="7" width="17" bestFit="1" customWidth="1"/>
    <col min="9" max="9" width="11.109375" bestFit="1" customWidth="1"/>
    <col min="11" max="11" width="8" customWidth="1"/>
    <col min="12" max="12" width="15.5546875" bestFit="1" customWidth="1"/>
  </cols>
  <sheetData>
    <row r="2" spans="1:14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45" t="s">
        <v>229</v>
      </c>
      <c r="B4" s="46" t="s">
        <v>19</v>
      </c>
      <c r="C4" s="46" t="s">
        <v>72</v>
      </c>
      <c r="D4" s="46" t="s">
        <v>73</v>
      </c>
      <c r="E4" s="46">
        <v>36</v>
      </c>
      <c r="F4" s="46" t="s">
        <v>230</v>
      </c>
      <c r="G4" s="47"/>
      <c r="H4" s="46">
        <v>1</v>
      </c>
      <c r="I4" s="47">
        <v>45691</v>
      </c>
      <c r="J4" s="46">
        <v>2.75</v>
      </c>
      <c r="K4" s="46">
        <v>16.2</v>
      </c>
      <c r="L4" s="46">
        <v>11.2014</v>
      </c>
      <c r="M4" s="46">
        <v>17.138100000000001</v>
      </c>
      <c r="N4" s="48">
        <v>1.1000000000000001</v>
      </c>
    </row>
    <row r="5" spans="1:14" x14ac:dyDescent="0.3">
      <c r="A5" s="49" t="s">
        <v>231</v>
      </c>
      <c r="B5" s="42" t="s">
        <v>19</v>
      </c>
      <c r="C5" s="42" t="s">
        <v>72</v>
      </c>
      <c r="D5" s="42" t="s">
        <v>73</v>
      </c>
      <c r="E5" s="42">
        <v>36</v>
      </c>
      <c r="F5" s="42" t="s">
        <v>230</v>
      </c>
      <c r="G5" s="41"/>
      <c r="H5" s="42">
        <v>2</v>
      </c>
      <c r="I5" s="41">
        <v>45698</v>
      </c>
      <c r="J5" s="42">
        <v>2.87</v>
      </c>
      <c r="K5" s="42">
        <v>17.8</v>
      </c>
      <c r="L5" s="42">
        <v>8.6435999999999993</v>
      </c>
      <c r="M5" s="42">
        <v>13.2247</v>
      </c>
      <c r="N5" s="50">
        <v>1.18</v>
      </c>
    </row>
    <row r="6" spans="1:14" x14ac:dyDescent="0.3">
      <c r="A6" s="49" t="s">
        <v>232</v>
      </c>
      <c r="B6" s="42" t="s">
        <v>19</v>
      </c>
      <c r="C6" s="42" t="s">
        <v>72</v>
      </c>
      <c r="D6" s="42" t="s">
        <v>73</v>
      </c>
      <c r="E6" s="42">
        <v>36</v>
      </c>
      <c r="F6" s="42" t="s">
        <v>230</v>
      </c>
      <c r="G6" s="41"/>
      <c r="H6" s="42">
        <v>3</v>
      </c>
      <c r="I6" s="41">
        <v>45705</v>
      </c>
      <c r="J6" s="42">
        <v>2.98</v>
      </c>
      <c r="K6" s="42">
        <v>19</v>
      </c>
      <c r="L6" s="42">
        <v>7.0364000000000004</v>
      </c>
      <c r="M6" s="42">
        <v>10.765700000000001</v>
      </c>
      <c r="N6" s="50">
        <v>1.25</v>
      </c>
    </row>
    <row r="7" spans="1:14" x14ac:dyDescent="0.3">
      <c r="A7" s="49" t="s">
        <v>233</v>
      </c>
      <c r="B7" s="42" t="s">
        <v>19</v>
      </c>
      <c r="C7" s="42" t="s">
        <v>72</v>
      </c>
      <c r="D7" s="42" t="s">
        <v>73</v>
      </c>
      <c r="E7" s="42">
        <v>36</v>
      </c>
      <c r="F7" s="42" t="s">
        <v>230</v>
      </c>
      <c r="G7" s="43">
        <v>45712</v>
      </c>
      <c r="H7" s="42">
        <v>4</v>
      </c>
      <c r="I7" s="41">
        <v>45712</v>
      </c>
      <c r="J7" s="42">
        <v>3.08</v>
      </c>
      <c r="K7" s="42">
        <v>20</v>
      </c>
      <c r="L7" s="42">
        <v>6.5856000000000003</v>
      </c>
      <c r="M7" s="42">
        <v>10.076000000000001</v>
      </c>
      <c r="N7" s="50">
        <v>1.48</v>
      </c>
    </row>
    <row r="8" spans="1:14" x14ac:dyDescent="0.3">
      <c r="A8" s="49" t="s">
        <v>234</v>
      </c>
      <c r="B8" s="42" t="s">
        <v>19</v>
      </c>
      <c r="C8" s="42" t="s">
        <v>72</v>
      </c>
      <c r="D8" s="42" t="s">
        <v>73</v>
      </c>
      <c r="E8" s="42">
        <v>36</v>
      </c>
      <c r="F8" s="42" t="s">
        <v>230</v>
      </c>
      <c r="G8" s="41"/>
      <c r="H8" s="42">
        <v>5</v>
      </c>
      <c r="I8" s="41">
        <v>45719</v>
      </c>
      <c r="J8" s="42">
        <v>3.19</v>
      </c>
      <c r="K8" s="42">
        <v>21.3</v>
      </c>
      <c r="L8" s="42">
        <v>5.4488000000000003</v>
      </c>
      <c r="M8" s="42">
        <v>8.3367000000000004</v>
      </c>
      <c r="N8" s="50">
        <v>1.43</v>
      </c>
    </row>
    <row r="9" spans="1:14" x14ac:dyDescent="0.3">
      <c r="A9" s="49" t="s">
        <v>235</v>
      </c>
      <c r="B9" s="42" t="s">
        <v>19</v>
      </c>
      <c r="C9" s="42" t="s">
        <v>72</v>
      </c>
      <c r="D9" s="42" t="s">
        <v>73</v>
      </c>
      <c r="E9" s="42">
        <v>36</v>
      </c>
      <c r="F9" s="42" t="s">
        <v>230</v>
      </c>
      <c r="G9" s="41"/>
      <c r="H9" s="42">
        <v>6</v>
      </c>
      <c r="I9" s="41">
        <v>45726</v>
      </c>
      <c r="J9" s="42">
        <v>3.29</v>
      </c>
      <c r="K9" s="42">
        <v>22.2</v>
      </c>
      <c r="L9" s="42">
        <v>4.8411999999999997</v>
      </c>
      <c r="M9" s="42">
        <v>7.407</v>
      </c>
      <c r="N9" s="50">
        <v>1.52</v>
      </c>
    </row>
    <row r="10" spans="1:14" x14ac:dyDescent="0.3">
      <c r="A10" s="49" t="s">
        <v>236</v>
      </c>
      <c r="B10" s="42" t="s">
        <v>19</v>
      </c>
      <c r="C10" s="42" t="s">
        <v>72</v>
      </c>
      <c r="D10" s="42" t="s">
        <v>73</v>
      </c>
      <c r="E10" s="42">
        <v>36</v>
      </c>
      <c r="F10" s="42" t="s">
        <v>230</v>
      </c>
      <c r="G10" s="43">
        <v>45733</v>
      </c>
      <c r="H10" s="42">
        <v>7</v>
      </c>
      <c r="I10" s="41">
        <v>45733</v>
      </c>
      <c r="J10" s="42">
        <v>3.4</v>
      </c>
      <c r="K10" s="56">
        <v>23.2</v>
      </c>
      <c r="L10" s="42">
        <v>4.1943999999999999</v>
      </c>
      <c r="M10" s="42">
        <v>6.4173999999999998</v>
      </c>
      <c r="N10" s="50">
        <v>1.52</v>
      </c>
    </row>
    <row r="11" spans="1:14" x14ac:dyDescent="0.3">
      <c r="A11" s="49" t="s">
        <v>237</v>
      </c>
      <c r="B11" s="42" t="s">
        <v>19</v>
      </c>
      <c r="C11" s="42" t="s">
        <v>72</v>
      </c>
      <c r="D11" s="42" t="s">
        <v>73</v>
      </c>
      <c r="E11" s="42">
        <v>36</v>
      </c>
      <c r="F11" s="42" t="s">
        <v>230</v>
      </c>
      <c r="G11" s="44">
        <v>45737</v>
      </c>
      <c r="H11" s="42">
        <v>8</v>
      </c>
      <c r="I11" s="41">
        <v>45737</v>
      </c>
      <c r="J11" s="42">
        <v>3.83</v>
      </c>
      <c r="K11" s="56">
        <v>23.6</v>
      </c>
      <c r="L11" s="42">
        <v>3.0870000000000002</v>
      </c>
      <c r="M11" s="42">
        <v>4.7230999999999996</v>
      </c>
      <c r="N11" s="50">
        <v>1.65</v>
      </c>
    </row>
    <row r="12" spans="1:14" x14ac:dyDescent="0.3">
      <c r="A12" s="49" t="s">
        <v>238</v>
      </c>
      <c r="B12" s="42" t="s">
        <v>19</v>
      </c>
      <c r="C12" s="42" t="s">
        <v>72</v>
      </c>
      <c r="D12" s="42" t="s">
        <v>73</v>
      </c>
      <c r="E12" s="42">
        <v>36</v>
      </c>
      <c r="F12" s="42" t="s">
        <v>230</v>
      </c>
      <c r="G12" s="43">
        <v>45744</v>
      </c>
      <c r="H12" s="42">
        <v>9</v>
      </c>
      <c r="I12" s="41">
        <v>45744</v>
      </c>
      <c r="J12" s="42">
        <v>3.7</v>
      </c>
      <c r="K12" s="56">
        <v>24.2</v>
      </c>
      <c r="L12" s="42">
        <v>3.0232999999999999</v>
      </c>
      <c r="M12" s="42">
        <v>4.6256000000000004</v>
      </c>
      <c r="N12" s="50">
        <v>1.35</v>
      </c>
    </row>
    <row r="13" spans="1:14" x14ac:dyDescent="0.3">
      <c r="A13" s="49" t="s">
        <v>239</v>
      </c>
      <c r="B13" s="42" t="s">
        <v>19</v>
      </c>
      <c r="C13" s="42" t="s">
        <v>72</v>
      </c>
      <c r="D13" s="42" t="s">
        <v>73</v>
      </c>
      <c r="E13" s="42">
        <v>36</v>
      </c>
      <c r="F13" s="42" t="s">
        <v>230</v>
      </c>
      <c r="G13" s="44">
        <v>45751</v>
      </c>
      <c r="H13" s="42">
        <v>10</v>
      </c>
      <c r="I13" s="41">
        <v>45751</v>
      </c>
      <c r="J13" s="42">
        <v>3.81</v>
      </c>
      <c r="K13" s="56">
        <v>24.8</v>
      </c>
      <c r="L13" s="42">
        <v>2.7244000000000002</v>
      </c>
      <c r="M13" s="42">
        <v>4.1683000000000003</v>
      </c>
      <c r="N13" s="50">
        <v>1.46</v>
      </c>
    </row>
    <row r="14" spans="1:14" x14ac:dyDescent="0.3">
      <c r="A14" s="51" t="s">
        <v>240</v>
      </c>
      <c r="B14" s="52" t="s">
        <v>19</v>
      </c>
      <c r="C14" s="52" t="s">
        <v>72</v>
      </c>
      <c r="D14" s="52" t="s">
        <v>73</v>
      </c>
      <c r="E14" s="52">
        <v>36</v>
      </c>
      <c r="F14" s="52" t="s">
        <v>230</v>
      </c>
      <c r="G14" s="72">
        <v>45758</v>
      </c>
      <c r="H14" s="52">
        <v>11</v>
      </c>
      <c r="I14" s="54">
        <v>45758</v>
      </c>
      <c r="J14" s="52">
        <v>3.85</v>
      </c>
      <c r="K14" s="57">
        <v>25.3</v>
      </c>
      <c r="L14" s="52">
        <v>2.6753999999999998</v>
      </c>
      <c r="M14" s="52">
        <v>4.0933999999999999</v>
      </c>
      <c r="N14" s="55">
        <v>1.53</v>
      </c>
    </row>
    <row r="16" spans="1:14" x14ac:dyDescent="0.3">
      <c r="A16" s="23">
        <v>2026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5" x14ac:dyDescent="0.3">
      <c r="A17" s="37" t="s">
        <v>0</v>
      </c>
      <c r="B17" s="26" t="s">
        <v>1</v>
      </c>
      <c r="C17" s="26" t="s">
        <v>225</v>
      </c>
      <c r="D17" s="26" t="s">
        <v>3</v>
      </c>
      <c r="E17" s="26" t="s">
        <v>4</v>
      </c>
      <c r="F17" s="26" t="s">
        <v>5</v>
      </c>
      <c r="G17" s="26" t="s">
        <v>226</v>
      </c>
      <c r="H17" s="26" t="s">
        <v>227</v>
      </c>
      <c r="I17" s="26" t="s">
        <v>228</v>
      </c>
      <c r="J17" s="26" t="s">
        <v>8</v>
      </c>
      <c r="K17" s="38" t="s">
        <v>9</v>
      </c>
      <c r="L17" s="26" t="s">
        <v>12</v>
      </c>
      <c r="M17" s="7" t="s">
        <v>13</v>
      </c>
      <c r="N17" s="39" t="s">
        <v>16</v>
      </c>
      <c r="O17" s="39" t="s">
        <v>241</v>
      </c>
    </row>
    <row r="18" spans="1:15" x14ac:dyDescent="0.3">
      <c r="A18" s="27" t="str">
        <f>'Muestras Tintas'!A30</f>
        <v>CS26IDAC36-H63/76-1</v>
      </c>
      <c r="B18" s="28" t="str">
        <f>'Muestras Tintas'!B30</f>
        <v>Cabernet Sauvignon</v>
      </c>
      <c r="C18" s="28" t="str">
        <f>'Muestras Tintas'!C30</f>
        <v>Colchagua</v>
      </c>
      <c r="D18" s="28" t="str">
        <f>'Muestras Tintas'!D30</f>
        <v>IDAHUE</v>
      </c>
      <c r="E18" s="28">
        <f>'Muestras Tintas'!E30</f>
        <v>36</v>
      </c>
      <c r="F18" s="28" t="str">
        <f>'Muestras Tintas'!F30</f>
        <v>63/76</v>
      </c>
      <c r="G18" s="28"/>
      <c r="H18" s="28" t="str">
        <f>'Muestras Tintas'!G30</f>
        <v>1</v>
      </c>
      <c r="I18" s="47">
        <f>'Muestras Tintas'!H30</f>
        <v>46035</v>
      </c>
      <c r="J18" s="28">
        <f>'Muestras Tintas'!I30</f>
        <v>2.59</v>
      </c>
      <c r="K18" s="28">
        <f>'Muestras Tintas'!J30</f>
        <v>7.9</v>
      </c>
      <c r="L18" s="28">
        <f>'Muestras Tintas'!L30*0.49</f>
        <v>22.667399999999997</v>
      </c>
      <c r="M18" s="28">
        <f>'Muestras Tintas'!M30*1.53</f>
        <v>34.681121999999995</v>
      </c>
      <c r="N18" s="28">
        <f>'Muestras Tintas'!O30/200</f>
        <v>0.82450000000000001</v>
      </c>
      <c r="O18" s="65"/>
    </row>
    <row r="19" spans="1:15" x14ac:dyDescent="0.3">
      <c r="A19" s="29" t="str">
        <f>'Muestras Tintas'!A31</f>
        <v>CS26IDAC36-H63/76-2</v>
      </c>
      <c r="B19" s="30" t="str">
        <f>'Muestras Tintas'!B31</f>
        <v>Cabernet Sauvignon</v>
      </c>
      <c r="C19" s="30" t="str">
        <f>'Muestras Tintas'!C31</f>
        <v>Colchagua</v>
      </c>
      <c r="D19" s="30" t="str">
        <f>'Muestras Tintas'!D31</f>
        <v>IDAHUE</v>
      </c>
      <c r="E19" s="30">
        <f>'Muestras Tintas'!E31</f>
        <v>36</v>
      </c>
      <c r="F19" s="30" t="str">
        <f>'Muestras Tintas'!F31</f>
        <v>63/76</v>
      </c>
      <c r="G19" s="30"/>
      <c r="H19" s="30" t="str">
        <f>'Muestras Tintas'!G31</f>
        <v>2</v>
      </c>
      <c r="I19" s="41">
        <f>'Muestras Tintas'!H31</f>
        <v>46044</v>
      </c>
      <c r="J19" s="30">
        <f>'Muestras Tintas'!I31</f>
        <v>2.9</v>
      </c>
      <c r="K19" s="30">
        <f>'Muestras Tintas'!J31</f>
        <v>16.3</v>
      </c>
      <c r="L19" s="30">
        <f>'Muestras Tintas'!L31*0.49</f>
        <v>10.485999999999999</v>
      </c>
      <c r="M19" s="30">
        <f>'Muestras Tintas'!M31*1.53</f>
        <v>16.043579999999999</v>
      </c>
      <c r="N19" s="30">
        <f>'Muestras Tintas'!O31/200</f>
        <v>0.98275000000000001</v>
      </c>
      <c r="O19" s="68"/>
    </row>
    <row r="20" spans="1:15" x14ac:dyDescent="0.3">
      <c r="A20" s="29" t="str">
        <f>'Muestras Tintas'!A32</f>
        <v>CS26IDAC36-H63/76-3</v>
      </c>
      <c r="B20" s="30" t="str">
        <f>'Muestras Tintas'!B32</f>
        <v>Cabernet Sauvignon</v>
      </c>
      <c r="C20" s="30" t="str">
        <f>'Muestras Tintas'!C32</f>
        <v>Colchagua</v>
      </c>
      <c r="D20" s="30" t="str">
        <f>'Muestras Tintas'!D32</f>
        <v>IDAHUE</v>
      </c>
      <c r="E20" s="30">
        <f>'Muestras Tintas'!E32</f>
        <v>36</v>
      </c>
      <c r="F20" s="30" t="str">
        <f>'Muestras Tintas'!F32</f>
        <v>63/76</v>
      </c>
      <c r="G20" s="30"/>
      <c r="H20" s="30" t="str">
        <f>'Muestras Tintas'!G32</f>
        <v>3</v>
      </c>
      <c r="I20" s="41">
        <f>'Muestras Tintas'!H32</f>
        <v>46050</v>
      </c>
      <c r="J20" s="30">
        <f>'Muestras Tintas'!I32</f>
        <v>2.99</v>
      </c>
      <c r="K20" s="30">
        <f>'Muestras Tintas'!J32</f>
        <v>17.2</v>
      </c>
      <c r="L20" s="30">
        <f>'Muestras Tintas'!L32*0.49</f>
        <v>9.4765999999999995</v>
      </c>
      <c r="M20" s="30">
        <f>'Muestras Tintas'!M32*1.53</f>
        <v>14.499198</v>
      </c>
      <c r="N20" s="30">
        <f>'Muestras Tintas'!O32/200</f>
        <v>0.99659999999999993</v>
      </c>
      <c r="O20" s="68"/>
    </row>
    <row r="21" spans="1:15" x14ac:dyDescent="0.3">
      <c r="A21" s="29" t="str">
        <f>'Muestras Tintas'!A33</f>
        <v>CS26IDAC36-H63/76-4</v>
      </c>
      <c r="B21" s="30" t="str">
        <f>'Muestras Tintas'!B33</f>
        <v>Cabernet Sauvignon</v>
      </c>
      <c r="C21" s="30" t="str">
        <f>'Muestras Tintas'!C33</f>
        <v>Colchagua</v>
      </c>
      <c r="D21" s="30" t="str">
        <f>'Muestras Tintas'!D33</f>
        <v>IDAHUE</v>
      </c>
      <c r="E21" s="30">
        <f>'Muestras Tintas'!E33</f>
        <v>36</v>
      </c>
      <c r="F21" s="30" t="str">
        <f>'Muestras Tintas'!F33</f>
        <v>63/76</v>
      </c>
      <c r="G21" s="30"/>
      <c r="H21" s="30" t="str">
        <f>'Muestras Tintas'!G33</f>
        <v>4</v>
      </c>
      <c r="I21" s="41">
        <f>'Muestras Tintas'!H33</f>
        <v>46057</v>
      </c>
      <c r="J21" s="30">
        <f>'Muestras Tintas'!I33</f>
        <v>3.03</v>
      </c>
      <c r="K21" s="30">
        <f>'Muestras Tintas'!J33</f>
        <v>17.8</v>
      </c>
      <c r="L21" s="30">
        <f>'Muestras Tintas'!L33*0.49</f>
        <v>6.9775999999999998</v>
      </c>
      <c r="M21" s="30">
        <f>'Muestras Tintas'!M33*1.53</f>
        <v>10.675727999999999</v>
      </c>
      <c r="N21" s="30">
        <f>'Muestras Tintas'!O33/200</f>
        <v>1.228</v>
      </c>
      <c r="O21" s="68"/>
    </row>
    <row r="22" spans="1:15" x14ac:dyDescent="0.3">
      <c r="A22" s="29" t="str">
        <f>'Muestras Tintas'!A34</f>
        <v>CS26IDAC36-H63/76-5</v>
      </c>
      <c r="B22" s="30" t="str">
        <f>'Muestras Tintas'!B34</f>
        <v>Cabernet Sauvignon</v>
      </c>
      <c r="C22" s="30" t="str">
        <f>'Muestras Tintas'!C34</f>
        <v>Colchagua</v>
      </c>
      <c r="D22" s="30" t="str">
        <f>'Muestras Tintas'!D34</f>
        <v>IDAHUE</v>
      </c>
      <c r="E22" s="30">
        <f>'Muestras Tintas'!E34</f>
        <v>36</v>
      </c>
      <c r="F22" s="30" t="str">
        <f>'Muestras Tintas'!F34</f>
        <v>63/76</v>
      </c>
      <c r="G22" s="30"/>
      <c r="H22" s="30" t="str">
        <f>'Muestras Tintas'!G34</f>
        <v>5</v>
      </c>
      <c r="I22" s="41">
        <f>'Muestras Tintas'!H34</f>
        <v>46064</v>
      </c>
      <c r="J22" s="30">
        <f>'Muestras Tintas'!I34</f>
        <v>3.15</v>
      </c>
      <c r="K22" s="30">
        <f>'Muestras Tintas'!J34</f>
        <v>20.100000000000001</v>
      </c>
      <c r="L22" s="30">
        <f>'Muestras Tintas'!L34*0.49</f>
        <v>6.1054000000000004</v>
      </c>
      <c r="M22" s="30">
        <f>'Muestras Tintas'!M34*1.53</f>
        <v>9.3412620000000004</v>
      </c>
      <c r="N22" s="30">
        <f>'Muestras Tintas'!O34/200</f>
        <v>1.3080000000000001</v>
      </c>
      <c r="O22" s="68"/>
    </row>
    <row r="23" spans="1:15" x14ac:dyDescent="0.3">
      <c r="A23" s="29" t="str">
        <f>'Muestras Tintas'!A35</f>
        <v>CS26IDAC36-H63/76-6</v>
      </c>
      <c r="B23" s="30" t="str">
        <f>'Muestras Tintas'!B35</f>
        <v>Cabernet Sauvignon</v>
      </c>
      <c r="C23" s="30" t="str">
        <f>'Muestras Tintas'!C35</f>
        <v>Colchagua</v>
      </c>
      <c r="D23" s="30" t="str">
        <f>'Muestras Tintas'!D35</f>
        <v>IDAHUE</v>
      </c>
      <c r="E23" s="30">
        <f>'Muestras Tintas'!E35</f>
        <v>36</v>
      </c>
      <c r="F23" s="30" t="str">
        <f>'Muestras Tintas'!F35</f>
        <v>63/76</v>
      </c>
      <c r="G23" s="30"/>
      <c r="H23" s="30" t="str">
        <f>'Muestras Tintas'!G35</f>
        <v>6</v>
      </c>
      <c r="I23" s="41">
        <f>'Muestras Tintas'!H35</f>
        <v>46071</v>
      </c>
      <c r="J23" s="30">
        <f>'Muestras Tintas'!I35</f>
        <v>3.21</v>
      </c>
      <c r="K23" s="30">
        <f>'Muestras Tintas'!J35</f>
        <v>21.8</v>
      </c>
      <c r="L23" s="30">
        <f>'Muestras Tintas'!L35*0.49</f>
        <v>5.3802000000000003</v>
      </c>
      <c r="M23" s="30">
        <f>'Muestras Tintas'!M35*1.53</f>
        <v>8.2317060000000009</v>
      </c>
      <c r="N23" s="30">
        <f>'Muestras Tintas'!O35/200</f>
        <v>1.2045000000000001</v>
      </c>
      <c r="O23" s="68"/>
    </row>
    <row r="24" spans="1:15" x14ac:dyDescent="0.3">
      <c r="A24" s="29" t="str">
        <f>'Muestras Tintas'!A36</f>
        <v>CS26IDAC36-H63/76-7</v>
      </c>
      <c r="B24" s="30" t="str">
        <f>'Muestras Tintas'!B36</f>
        <v>Cabernet Sauvignon</v>
      </c>
      <c r="C24" s="30" t="str">
        <f>'Muestras Tintas'!C36</f>
        <v>Colchagua</v>
      </c>
      <c r="D24" s="30" t="str">
        <f>'Muestras Tintas'!D36</f>
        <v>IDAHUE</v>
      </c>
      <c r="E24" s="30">
        <f>'Muestras Tintas'!E36</f>
        <v>36</v>
      </c>
      <c r="F24" s="30" t="str">
        <f>'Muestras Tintas'!F36</f>
        <v>63/76</v>
      </c>
      <c r="G24" s="30"/>
      <c r="H24" s="30" t="str">
        <f>'Muestras Tintas'!G36</f>
        <v>7</v>
      </c>
      <c r="I24" s="41">
        <f>'Muestras Tintas'!H36</f>
        <v>46078</v>
      </c>
      <c r="J24" s="30">
        <f>'Muestras Tintas'!I36</f>
        <v>3.23</v>
      </c>
      <c r="K24" s="30">
        <f>'Muestras Tintas'!J36</f>
        <v>23.7</v>
      </c>
      <c r="L24" s="30">
        <f>'Muestras Tintas'!L36*0.49</f>
        <v>4.7333999999999996</v>
      </c>
      <c r="M24" s="30">
        <f>'Muestras Tintas'!M36*1.53</f>
        <v>7.2421019999999992</v>
      </c>
      <c r="N24" s="30">
        <f>'Muestras Tintas'!O36/200</f>
        <v>1.1465000000000001</v>
      </c>
      <c r="O24" s="68"/>
    </row>
    <row r="25" spans="1:15" x14ac:dyDescent="0.3">
      <c r="A25" s="29" t="str">
        <f>'Muestras Tintas'!A37</f>
        <v>CS26IDAC36-H63/76-8</v>
      </c>
      <c r="B25" s="30" t="str">
        <f>'Muestras Tintas'!B37</f>
        <v>Cabernet Sauvignon</v>
      </c>
      <c r="C25" s="30" t="str">
        <f>'Muestras Tintas'!C37</f>
        <v>Colchagua</v>
      </c>
      <c r="D25" s="30" t="str">
        <f>'Muestras Tintas'!D37</f>
        <v>IDAHUE</v>
      </c>
      <c r="E25" s="30">
        <f>'Muestras Tintas'!E37</f>
        <v>36</v>
      </c>
      <c r="F25" s="30" t="str">
        <f>'Muestras Tintas'!F37</f>
        <v>63/76</v>
      </c>
      <c r="G25" s="30"/>
      <c r="H25" s="30" t="str">
        <f>'Muestras Tintas'!G37</f>
        <v>8</v>
      </c>
      <c r="I25" s="41">
        <f>'Muestras Tintas'!H37</f>
        <v>46085</v>
      </c>
      <c r="J25" s="30">
        <f>'Muestras Tintas'!I37</f>
        <v>3.31</v>
      </c>
      <c r="K25" s="30">
        <f>'Muestras Tintas'!J37</f>
        <v>24.7</v>
      </c>
      <c r="L25" s="30">
        <f>'Muestras Tintas'!L37*0.49</f>
        <v>4.2629999999999999</v>
      </c>
      <c r="M25" s="30">
        <f>'Muestras Tintas'!M37*1.53</f>
        <v>6.5223899999999997</v>
      </c>
      <c r="N25" s="30">
        <f>'Muestras Tintas'!O37/200</f>
        <v>1.1579999999999999</v>
      </c>
      <c r="O25" s="68">
        <v>1</v>
      </c>
    </row>
    <row r="26" spans="1:15" x14ac:dyDescent="0.3">
      <c r="A26" s="29" t="str">
        <f>'Muestras Tintas'!A38</f>
        <v>CS26IDAC36-H63/76-9</v>
      </c>
      <c r="B26" s="30" t="str">
        <f>'Muestras Tintas'!B38</f>
        <v>Cabernet Sauvignon</v>
      </c>
      <c r="C26" s="30" t="str">
        <f>'Muestras Tintas'!C38</f>
        <v>Colchagua</v>
      </c>
      <c r="D26" s="30" t="str">
        <f>'Muestras Tintas'!D38</f>
        <v>IDAHUE</v>
      </c>
      <c r="E26" s="30">
        <f>'Muestras Tintas'!E38</f>
        <v>36</v>
      </c>
      <c r="F26" s="30" t="str">
        <f>'Muestras Tintas'!F38</f>
        <v>63/76</v>
      </c>
      <c r="G26" s="30"/>
      <c r="H26" s="30" t="str">
        <f>'Muestras Tintas'!G38</f>
        <v>9</v>
      </c>
      <c r="I26" s="41">
        <f>'Muestras Tintas'!H38</f>
        <v>46092</v>
      </c>
      <c r="J26" s="30">
        <f>'Muestras Tintas'!I38</f>
        <v>3.49</v>
      </c>
      <c r="K26" s="30">
        <f>'Muestras Tintas'!J38</f>
        <v>25.8</v>
      </c>
      <c r="L26" s="30">
        <f>'Muestras Tintas'!L38*0.49</f>
        <v>4.1747999999999994</v>
      </c>
      <c r="M26" s="30">
        <f>'Muestras Tintas'!M38*1.53</f>
        <v>6.3874439999999995</v>
      </c>
      <c r="N26" s="30">
        <f>'Muestras Tintas'!O38/200</f>
        <v>1.129</v>
      </c>
      <c r="O26" s="68"/>
    </row>
    <row r="27" spans="1:15" x14ac:dyDescent="0.3">
      <c r="A27" s="29" t="str">
        <f>'Muestras Tintas'!A39</f>
        <v>CS26IDAC36-H63/76-10</v>
      </c>
      <c r="B27" s="30" t="str">
        <f>'Muestras Tintas'!B39</f>
        <v>Cabernet Sauvignon</v>
      </c>
      <c r="C27" s="30" t="str">
        <f>'Muestras Tintas'!C39</f>
        <v>Colchagua</v>
      </c>
      <c r="D27" s="30" t="str">
        <f>'Muestras Tintas'!D39</f>
        <v>IDAHUE</v>
      </c>
      <c r="E27" s="30">
        <f>'Muestras Tintas'!E39</f>
        <v>36</v>
      </c>
      <c r="F27" s="30" t="str">
        <f>'Muestras Tintas'!F39</f>
        <v>63/76</v>
      </c>
      <c r="G27" s="30"/>
      <c r="H27" s="30">
        <f>'Muestras Tintas'!G39</f>
        <v>10</v>
      </c>
      <c r="I27" s="41">
        <f>'Muestras Tintas'!H39</f>
        <v>46099</v>
      </c>
      <c r="J27" s="30">
        <f>'Muestras Tintas'!I39</f>
        <v>3.4</v>
      </c>
      <c r="K27" s="30">
        <f>'Muestras Tintas'!J39</f>
        <v>25.7</v>
      </c>
      <c r="L27" s="30">
        <f>'Muestras Tintas'!L39*0.49</f>
        <v>3.9297999999999997</v>
      </c>
      <c r="M27" s="30">
        <f>'Muestras Tintas'!M39*1.53</f>
        <v>6.012594</v>
      </c>
      <c r="N27" s="30">
        <f>'Muestras Tintas'!O39/200</f>
        <v>1.1240000000000001</v>
      </c>
      <c r="O27" s="68">
        <v>2</v>
      </c>
    </row>
    <row r="28" spans="1:15" x14ac:dyDescent="0.3">
      <c r="A28" s="29" t="str">
        <f>'Muestras Tintas'!A40</f>
        <v>CS26IDAC36-H63/76-11</v>
      </c>
      <c r="B28" s="30" t="str">
        <f>'Muestras Tintas'!B40</f>
        <v>Cabernet Sauvignon</v>
      </c>
      <c r="C28" s="30" t="str">
        <f>'Muestras Tintas'!C40</f>
        <v>Colchagua</v>
      </c>
      <c r="D28" s="30" t="str">
        <f>'Muestras Tintas'!D40</f>
        <v>IDAHUE</v>
      </c>
      <c r="E28" s="30">
        <f>'Muestras Tintas'!E40</f>
        <v>36</v>
      </c>
      <c r="F28" s="30" t="str">
        <f>'Muestras Tintas'!F40</f>
        <v>63/76</v>
      </c>
      <c r="G28" s="30"/>
      <c r="H28" s="30">
        <f>'Muestras Tintas'!G40</f>
        <v>11</v>
      </c>
      <c r="I28" s="41">
        <f>'Muestras Tintas'!H40</f>
        <v>46106</v>
      </c>
      <c r="J28" s="30">
        <f>'Muestras Tintas'!I40</f>
        <v>3.36</v>
      </c>
      <c r="K28" s="30">
        <f>'Muestras Tintas'!J40</f>
        <v>26.2</v>
      </c>
      <c r="L28" s="30">
        <f>'Muestras Tintas'!L40*0.49</f>
        <v>4.0768000000000004</v>
      </c>
      <c r="M28" s="30">
        <f>'Muestras Tintas'!M40*1.53</f>
        <v>6.2375040000000004</v>
      </c>
      <c r="N28" s="30">
        <f>'Muestras Tintas'!O40/200</f>
        <v>1.006</v>
      </c>
      <c r="O28" s="68"/>
    </row>
    <row r="29" spans="1:15" x14ac:dyDescent="0.3">
      <c r="A29" s="29" t="str">
        <f>'Muestras Tintas'!A41</f>
        <v>CS26IDAC36-H63/76-12</v>
      </c>
      <c r="B29" s="30" t="str">
        <f>'Muestras Tintas'!B41</f>
        <v>Cabernet Sauvignon</v>
      </c>
      <c r="C29" s="30" t="str">
        <f>'Muestras Tintas'!C41</f>
        <v>Colchagua</v>
      </c>
      <c r="D29" s="30" t="str">
        <f>'Muestras Tintas'!D41</f>
        <v>IDAHUE</v>
      </c>
      <c r="E29" s="30">
        <f>'Muestras Tintas'!E41</f>
        <v>36</v>
      </c>
      <c r="F29" s="30" t="str">
        <f>'Muestras Tintas'!F41</f>
        <v>63/76</v>
      </c>
      <c r="G29" s="30"/>
      <c r="H29" s="30">
        <f>'Muestras Tintas'!G41</f>
        <v>12</v>
      </c>
      <c r="I29" s="41">
        <f>'Muestras Tintas'!H41</f>
        <v>46112</v>
      </c>
      <c r="J29" s="30">
        <f>'Muestras Tintas'!I41</f>
        <v>3.25</v>
      </c>
      <c r="K29" s="30">
        <f>'Muestras Tintas'!J41</f>
        <v>25.9</v>
      </c>
      <c r="L29" s="30">
        <f>'Muestras Tintas'!L41*0.49</f>
        <v>4.1062000000000003</v>
      </c>
      <c r="M29" s="30">
        <f>'Muestras Tintas'!M41*1.53</f>
        <v>6.2824860000000005</v>
      </c>
      <c r="N29" s="30">
        <f>'Muestras Tintas'!O41/200</f>
        <v>1.087</v>
      </c>
      <c r="O29" s="68"/>
    </row>
    <row r="30" spans="1:15" x14ac:dyDescent="0.3">
      <c r="A30" s="31" t="str">
        <f>'Muestras Tintas'!A42</f>
        <v>CS26IDAC36-H63/76-13</v>
      </c>
      <c r="B30" s="32" t="str">
        <f>'Muestras Tintas'!B42</f>
        <v>Cabernet Sauvignon</v>
      </c>
      <c r="C30" s="32" t="str">
        <f>'Muestras Tintas'!C42</f>
        <v>Colchagua</v>
      </c>
      <c r="D30" s="32" t="str">
        <f>'Muestras Tintas'!D42</f>
        <v>IDAHUE</v>
      </c>
      <c r="E30" s="32">
        <f>'Muestras Tintas'!E42</f>
        <v>36</v>
      </c>
      <c r="F30" s="32" t="str">
        <f>'Muestras Tintas'!F42</f>
        <v>63/76</v>
      </c>
      <c r="G30" s="32"/>
      <c r="H30" s="32">
        <f>'Muestras Tintas'!G42</f>
        <v>13</v>
      </c>
      <c r="I30" s="54">
        <f>'Muestras Tintas'!H42</f>
        <v>46119</v>
      </c>
      <c r="J30" s="32">
        <f>'Muestras Tintas'!I42</f>
        <v>3.55</v>
      </c>
      <c r="K30" s="32">
        <f>'Muestras Tintas'!J42</f>
        <v>24.5</v>
      </c>
      <c r="L30" s="32">
        <f>'Muestras Tintas'!L42*0.49</f>
        <v>4.0571999999999999</v>
      </c>
      <c r="M30" s="32">
        <f>'Muestras Tintas'!M42*1.53</f>
        <v>6.207516</v>
      </c>
      <c r="N30" s="32">
        <f>'Muestras Tintas'!O42/200</f>
        <v>1.288</v>
      </c>
      <c r="O30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7E2C-9185-41FA-ADBB-442E4FA43DAD}">
  <sheetPr codeName="Hoja3">
    <tabColor rgb="FFFFFF00"/>
  </sheetPr>
  <dimension ref="A2:O31"/>
  <sheetViews>
    <sheetView topLeftCell="A11" workbookViewId="0">
      <selection activeCell="G36" sqref="G36"/>
    </sheetView>
  </sheetViews>
  <sheetFormatPr baseColWidth="10" defaultColWidth="8.88671875" defaultRowHeight="14.4" x14ac:dyDescent="0.3"/>
  <cols>
    <col min="1" max="1" width="21.33203125" bestFit="1" customWidth="1"/>
    <col min="2" max="2" width="18.5546875" bestFit="1" customWidth="1"/>
    <col min="3" max="3" width="10.4414062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33" t="s">
        <v>242</v>
      </c>
      <c r="B4" s="34" t="s">
        <v>19</v>
      </c>
      <c r="C4" s="34" t="s">
        <v>72</v>
      </c>
      <c r="D4" s="34" t="s">
        <v>88</v>
      </c>
      <c r="E4" s="34">
        <v>2</v>
      </c>
      <c r="F4" s="34" t="s">
        <v>243</v>
      </c>
      <c r="G4" s="34"/>
      <c r="H4" s="34">
        <v>1</v>
      </c>
      <c r="I4" s="35">
        <v>45692</v>
      </c>
      <c r="J4" s="34">
        <v>2.64</v>
      </c>
      <c r="K4" s="34">
        <v>16.3</v>
      </c>
      <c r="L4" s="34">
        <v>12.2402</v>
      </c>
      <c r="M4" s="34">
        <v>18.727499999999999</v>
      </c>
      <c r="N4" s="36">
        <v>1.06</v>
      </c>
    </row>
    <row r="5" spans="1:14" x14ac:dyDescent="0.3">
      <c r="A5" s="11" t="s">
        <v>244</v>
      </c>
      <c r="B5" s="12" t="s">
        <v>19</v>
      </c>
      <c r="C5" s="12" t="s">
        <v>72</v>
      </c>
      <c r="D5" s="12" t="s">
        <v>88</v>
      </c>
      <c r="E5" s="12">
        <v>2</v>
      </c>
      <c r="F5" s="12" t="s">
        <v>243</v>
      </c>
      <c r="G5" s="12"/>
      <c r="H5" s="12">
        <v>2</v>
      </c>
      <c r="I5" s="13">
        <v>45699</v>
      </c>
      <c r="J5" s="12">
        <v>2.77</v>
      </c>
      <c r="K5" s="12">
        <v>17.2</v>
      </c>
      <c r="L5" s="12">
        <v>9.2904</v>
      </c>
      <c r="M5" s="12">
        <v>14.2143</v>
      </c>
      <c r="N5" s="14">
        <v>1.28</v>
      </c>
    </row>
    <row r="6" spans="1:14" x14ac:dyDescent="0.3">
      <c r="A6" s="11" t="s">
        <v>245</v>
      </c>
      <c r="B6" s="12" t="s">
        <v>19</v>
      </c>
      <c r="C6" s="12" t="s">
        <v>72</v>
      </c>
      <c r="D6" s="12" t="s">
        <v>88</v>
      </c>
      <c r="E6" s="12">
        <v>2</v>
      </c>
      <c r="F6" s="12" t="s">
        <v>243</v>
      </c>
      <c r="G6" s="12"/>
      <c r="H6" s="12">
        <v>3</v>
      </c>
      <c r="I6" s="13">
        <v>45706</v>
      </c>
      <c r="J6" s="12">
        <v>2.92</v>
      </c>
      <c r="K6" s="12">
        <v>18.600000000000001</v>
      </c>
      <c r="L6" s="12">
        <v>7.9184000000000001</v>
      </c>
      <c r="M6" s="12">
        <v>12.1152</v>
      </c>
      <c r="N6" s="14">
        <v>1.29</v>
      </c>
    </row>
    <row r="7" spans="1:14" x14ac:dyDescent="0.3">
      <c r="A7" s="11" t="s">
        <v>246</v>
      </c>
      <c r="B7" s="12" t="s">
        <v>19</v>
      </c>
      <c r="C7" s="12" t="s">
        <v>72</v>
      </c>
      <c r="D7" s="12" t="s">
        <v>88</v>
      </c>
      <c r="E7" s="12">
        <v>2</v>
      </c>
      <c r="F7" s="12" t="s">
        <v>243</v>
      </c>
      <c r="G7" s="12"/>
      <c r="H7" s="12">
        <v>4</v>
      </c>
      <c r="I7" s="13">
        <v>45713</v>
      </c>
      <c r="J7" s="12">
        <v>3.05</v>
      </c>
      <c r="K7" s="12">
        <v>19.3</v>
      </c>
      <c r="L7" s="12">
        <v>6.9188000000000001</v>
      </c>
      <c r="M7" s="12">
        <v>10.585800000000001</v>
      </c>
      <c r="N7" s="14">
        <v>1.55</v>
      </c>
    </row>
    <row r="8" spans="1:14" x14ac:dyDescent="0.3">
      <c r="A8" s="11" t="s">
        <v>247</v>
      </c>
      <c r="B8" s="12" t="s">
        <v>19</v>
      </c>
      <c r="C8" s="12" t="s">
        <v>72</v>
      </c>
      <c r="D8" s="12" t="s">
        <v>88</v>
      </c>
      <c r="E8" s="12">
        <v>2</v>
      </c>
      <c r="F8" s="12" t="s">
        <v>243</v>
      </c>
      <c r="G8" s="12"/>
      <c r="H8" s="12">
        <v>5</v>
      </c>
      <c r="I8" s="13">
        <v>45720</v>
      </c>
      <c r="J8" s="12">
        <v>3.19</v>
      </c>
      <c r="K8" s="12">
        <v>21.8</v>
      </c>
      <c r="L8" s="12">
        <v>5.3704000000000001</v>
      </c>
      <c r="M8" s="12">
        <v>8.2166999999999994</v>
      </c>
      <c r="N8" s="14">
        <v>1.56</v>
      </c>
    </row>
    <row r="9" spans="1:14" x14ac:dyDescent="0.3">
      <c r="A9" s="11" t="s">
        <v>248</v>
      </c>
      <c r="B9" s="12" t="s">
        <v>19</v>
      </c>
      <c r="C9" s="12" t="s">
        <v>72</v>
      </c>
      <c r="D9" s="12" t="s">
        <v>88</v>
      </c>
      <c r="E9" s="12">
        <v>2</v>
      </c>
      <c r="F9" s="12" t="s">
        <v>243</v>
      </c>
      <c r="G9" s="16">
        <v>45727</v>
      </c>
      <c r="H9" s="12">
        <v>6</v>
      </c>
      <c r="I9" s="13">
        <v>45727</v>
      </c>
      <c r="J9" s="12">
        <v>3.28</v>
      </c>
      <c r="K9" s="12">
        <v>21.9</v>
      </c>
      <c r="L9" s="12">
        <v>5.3605999999999998</v>
      </c>
      <c r="M9" s="12">
        <v>8.2017000000000007</v>
      </c>
      <c r="N9" s="14">
        <v>1.67</v>
      </c>
    </row>
    <row r="10" spans="1:14" x14ac:dyDescent="0.3">
      <c r="A10" s="11" t="s">
        <v>249</v>
      </c>
      <c r="B10" s="12" t="s">
        <v>19</v>
      </c>
      <c r="C10" s="12" t="s">
        <v>72</v>
      </c>
      <c r="D10" s="12" t="s">
        <v>88</v>
      </c>
      <c r="E10" s="12">
        <v>2</v>
      </c>
      <c r="F10" s="12" t="s">
        <v>243</v>
      </c>
      <c r="G10" s="16">
        <v>45734</v>
      </c>
      <c r="H10" s="12">
        <v>7</v>
      </c>
      <c r="I10" s="13">
        <v>45734</v>
      </c>
      <c r="J10" s="12">
        <v>3.4</v>
      </c>
      <c r="K10" s="12">
        <v>22.4</v>
      </c>
      <c r="L10" s="12">
        <v>4.7553000000000001</v>
      </c>
      <c r="M10" s="12">
        <v>7.2721</v>
      </c>
      <c r="N10" s="14">
        <v>1.68</v>
      </c>
    </row>
    <row r="11" spans="1:14" x14ac:dyDescent="0.3">
      <c r="A11" s="11" t="s">
        <v>250</v>
      </c>
      <c r="B11" s="12" t="s">
        <v>19</v>
      </c>
      <c r="C11" s="12" t="s">
        <v>72</v>
      </c>
      <c r="D11" s="12" t="s">
        <v>88</v>
      </c>
      <c r="E11" s="12">
        <v>2</v>
      </c>
      <c r="F11" s="12" t="s">
        <v>243</v>
      </c>
      <c r="G11" s="43">
        <v>45742</v>
      </c>
      <c r="H11" s="12">
        <v>8</v>
      </c>
      <c r="I11" s="13">
        <v>45742</v>
      </c>
      <c r="J11" s="12">
        <v>3.41</v>
      </c>
      <c r="K11" s="15">
        <v>23</v>
      </c>
      <c r="L11" s="12">
        <v>4.6402999999999999</v>
      </c>
      <c r="M11" s="12">
        <v>7.0997000000000003</v>
      </c>
      <c r="N11" s="14">
        <v>1.74</v>
      </c>
    </row>
    <row r="12" spans="1:14" x14ac:dyDescent="0.3">
      <c r="A12" s="11" t="s">
        <v>251</v>
      </c>
      <c r="B12" s="12" t="s">
        <v>19</v>
      </c>
      <c r="C12" s="12" t="s">
        <v>72</v>
      </c>
      <c r="D12" s="12" t="s">
        <v>88</v>
      </c>
      <c r="E12" s="12">
        <v>2</v>
      </c>
      <c r="F12" s="12" t="s">
        <v>243</v>
      </c>
      <c r="G12" s="44">
        <v>45748</v>
      </c>
      <c r="H12" s="12">
        <v>9</v>
      </c>
      <c r="I12" s="13">
        <v>45748</v>
      </c>
      <c r="J12" s="12">
        <v>3.58</v>
      </c>
      <c r="K12" s="15">
        <v>23.9</v>
      </c>
      <c r="L12" s="12">
        <v>3.4398</v>
      </c>
      <c r="M12" s="12">
        <v>5.2629000000000001</v>
      </c>
      <c r="N12" s="14">
        <v>2.11</v>
      </c>
    </row>
    <row r="13" spans="1:14" x14ac:dyDescent="0.3">
      <c r="A13" s="11" t="s">
        <v>252</v>
      </c>
      <c r="B13" s="12" t="s">
        <v>19</v>
      </c>
      <c r="C13" s="12" t="s">
        <v>72</v>
      </c>
      <c r="D13" s="12" t="s">
        <v>88</v>
      </c>
      <c r="E13" s="12">
        <v>2</v>
      </c>
      <c r="F13" s="12" t="s">
        <v>243</v>
      </c>
      <c r="G13" s="43">
        <v>45755</v>
      </c>
      <c r="H13" s="12">
        <v>10</v>
      </c>
      <c r="I13" s="13">
        <v>45755</v>
      </c>
      <c r="J13" s="12">
        <v>3.46</v>
      </c>
      <c r="K13" s="15">
        <v>23.9</v>
      </c>
      <c r="L13" s="12">
        <v>3.4152999999999998</v>
      </c>
      <c r="M13" s="12">
        <v>5.2253999999999996</v>
      </c>
      <c r="N13" s="14">
        <v>1.7</v>
      </c>
    </row>
    <row r="14" spans="1:14" x14ac:dyDescent="0.3">
      <c r="A14" s="11" t="s">
        <v>253</v>
      </c>
      <c r="B14" s="12" t="s">
        <v>19</v>
      </c>
      <c r="C14" s="12" t="s">
        <v>72</v>
      </c>
      <c r="D14" s="12" t="s">
        <v>88</v>
      </c>
      <c r="E14" s="12">
        <v>2</v>
      </c>
      <c r="F14" s="12" t="s">
        <v>243</v>
      </c>
      <c r="G14" s="44">
        <v>45762</v>
      </c>
      <c r="H14" s="12">
        <v>11</v>
      </c>
      <c r="I14" s="13">
        <v>45762</v>
      </c>
      <c r="J14" s="12">
        <v>3.47</v>
      </c>
      <c r="K14" s="15">
        <v>24.4</v>
      </c>
      <c r="L14" s="12">
        <v>3.3418000000000001</v>
      </c>
      <c r="M14" s="12">
        <v>5.1130000000000004</v>
      </c>
      <c r="N14" s="14">
        <v>1.62</v>
      </c>
    </row>
    <row r="15" spans="1:14" x14ac:dyDescent="0.3">
      <c r="A15" s="18" t="s">
        <v>254</v>
      </c>
      <c r="B15" s="19" t="s">
        <v>19</v>
      </c>
      <c r="C15" s="19" t="s">
        <v>72</v>
      </c>
      <c r="D15" s="19" t="s">
        <v>88</v>
      </c>
      <c r="E15" s="19">
        <v>2</v>
      </c>
      <c r="F15" s="19" t="s">
        <v>243</v>
      </c>
      <c r="G15" s="72">
        <v>45777</v>
      </c>
      <c r="H15" s="19">
        <v>12</v>
      </c>
      <c r="I15" s="40">
        <v>45777</v>
      </c>
      <c r="J15" s="19">
        <v>3.64</v>
      </c>
      <c r="K15" s="21">
        <v>24.6</v>
      </c>
      <c r="L15" s="19">
        <v>3.3123999999999998</v>
      </c>
      <c r="M15" s="19">
        <v>5.0679999999999996</v>
      </c>
      <c r="N15" s="22">
        <v>1.71</v>
      </c>
    </row>
    <row r="17" spans="1:15" x14ac:dyDescent="0.3">
      <c r="A17" s="23">
        <v>2026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5" x14ac:dyDescent="0.3">
      <c r="A18" s="37" t="s">
        <v>0</v>
      </c>
      <c r="B18" s="26" t="s">
        <v>1</v>
      </c>
      <c r="C18" s="26" t="s">
        <v>225</v>
      </c>
      <c r="D18" s="26" t="s">
        <v>3</v>
      </c>
      <c r="E18" s="26" t="s">
        <v>4</v>
      </c>
      <c r="F18" s="26" t="s">
        <v>5</v>
      </c>
      <c r="G18" s="26" t="s">
        <v>226</v>
      </c>
      <c r="H18" s="26" t="s">
        <v>227</v>
      </c>
      <c r="I18" s="26" t="s">
        <v>228</v>
      </c>
      <c r="J18" s="26" t="s">
        <v>8</v>
      </c>
      <c r="K18" s="38" t="s">
        <v>9</v>
      </c>
      <c r="L18" s="26" t="s">
        <v>12</v>
      </c>
      <c r="M18" s="26" t="s">
        <v>13</v>
      </c>
      <c r="N18" s="39" t="s">
        <v>16</v>
      </c>
      <c r="O18" s="39" t="s">
        <v>241</v>
      </c>
    </row>
    <row r="19" spans="1:15" x14ac:dyDescent="0.3">
      <c r="A19" s="27" t="str">
        <f>'Muestras Tintas'!A43</f>
        <v>CS26NILC2-H61/66-1</v>
      </c>
      <c r="B19" s="28" t="str">
        <f>'Muestras Tintas'!B43</f>
        <v>Cabernet Sauvignon</v>
      </c>
      <c r="C19" s="28" t="str">
        <f>'Muestras Tintas'!C43</f>
        <v>Colchagua</v>
      </c>
      <c r="D19" s="28" t="str">
        <f>'Muestras Tintas'!D43</f>
        <v>NILAHUE</v>
      </c>
      <c r="E19" s="28">
        <f>'Muestras Tintas'!E43</f>
        <v>2</v>
      </c>
      <c r="F19" s="28" t="str">
        <f>'Muestras Tintas'!F43</f>
        <v>61/66</v>
      </c>
      <c r="G19" s="28"/>
      <c r="H19" s="28" t="str">
        <f>'Muestras Tintas'!G43</f>
        <v>1</v>
      </c>
      <c r="I19" s="35">
        <f>'Muestras Tintas'!H43</f>
        <v>46043</v>
      </c>
      <c r="J19" s="28">
        <f>'Muestras Tintas'!I43</f>
        <v>2.79</v>
      </c>
      <c r="K19" s="28">
        <f>'Muestras Tintas'!J43</f>
        <v>13.5</v>
      </c>
      <c r="L19" s="28">
        <f>'Muestras Tintas'!L43*0.49</f>
        <v>12.710600000000001</v>
      </c>
      <c r="M19" s="28">
        <f>'Muestras Tintas'!M43*1.53</f>
        <v>19.447218000000003</v>
      </c>
      <c r="N19" s="58">
        <f>'Muestras Tintas'!O43/200</f>
        <v>1.05525</v>
      </c>
      <c r="O19" s="65"/>
    </row>
    <row r="20" spans="1:15" x14ac:dyDescent="0.3">
      <c r="A20" s="29" t="str">
        <f>'Muestras Tintas'!A44</f>
        <v>CS26NILC2-H61/66-2</v>
      </c>
      <c r="B20" s="30" t="str">
        <f>'Muestras Tintas'!B44</f>
        <v>Cabernet Sauvignon</v>
      </c>
      <c r="C20" s="30" t="str">
        <f>'Muestras Tintas'!C44</f>
        <v>Colchagua</v>
      </c>
      <c r="D20" s="30" t="str">
        <f>'Muestras Tintas'!D44</f>
        <v>NILAHUE</v>
      </c>
      <c r="E20" s="30">
        <f>'Muestras Tintas'!E44</f>
        <v>2</v>
      </c>
      <c r="F20" s="30" t="str">
        <f>'Muestras Tintas'!F44</f>
        <v>61/66</v>
      </c>
      <c r="G20" s="30"/>
      <c r="H20" s="30" t="str">
        <f>'Muestras Tintas'!G44</f>
        <v>2</v>
      </c>
      <c r="I20" s="13">
        <f>'Muestras Tintas'!H44</f>
        <v>46049</v>
      </c>
      <c r="J20" s="30">
        <f>'Muestras Tintas'!I44</f>
        <v>2.77</v>
      </c>
      <c r="K20" s="30">
        <f>'Muestras Tintas'!J44</f>
        <v>15</v>
      </c>
      <c r="L20" s="30">
        <f>'Muestras Tintas'!L44*0.49</f>
        <v>15.4154</v>
      </c>
      <c r="M20" s="30">
        <f>'Muestras Tintas'!M44*1.53</f>
        <v>23.585561999999999</v>
      </c>
      <c r="N20" s="59">
        <f>'Muestras Tintas'!O44/200</f>
        <v>1.07395</v>
      </c>
      <c r="O20" s="68"/>
    </row>
    <row r="21" spans="1:15" x14ac:dyDescent="0.3">
      <c r="A21" s="29" t="str">
        <f>'Muestras Tintas'!A45</f>
        <v>CS26NILC2-H61/66-3</v>
      </c>
      <c r="B21" s="30" t="str">
        <f>'Muestras Tintas'!B45</f>
        <v>Cabernet Sauvignon</v>
      </c>
      <c r="C21" s="30" t="str">
        <f>'Muestras Tintas'!C45</f>
        <v>Colchagua</v>
      </c>
      <c r="D21" s="30" t="str">
        <f>'Muestras Tintas'!D45</f>
        <v>NILAHUE</v>
      </c>
      <c r="E21" s="30">
        <f>'Muestras Tintas'!E45</f>
        <v>2</v>
      </c>
      <c r="F21" s="30" t="str">
        <f>'Muestras Tintas'!F45</f>
        <v>61/66</v>
      </c>
      <c r="G21" s="30"/>
      <c r="H21" s="30" t="str">
        <f>'Muestras Tintas'!G45</f>
        <v>3</v>
      </c>
      <c r="I21" s="13">
        <f>'Muestras Tintas'!H45</f>
        <v>46056</v>
      </c>
      <c r="J21" s="30">
        <f>'Muestras Tintas'!I45</f>
        <v>2.86</v>
      </c>
      <c r="K21" s="30">
        <f>'Muestras Tintas'!J45</f>
        <v>15.5</v>
      </c>
      <c r="L21" s="30">
        <f>'Muestras Tintas'!L45*0.49</f>
        <v>12.602799999999998</v>
      </c>
      <c r="M21" s="30">
        <f>'Muestras Tintas'!M45*1.53</f>
        <v>19.282283999999997</v>
      </c>
      <c r="N21" s="59">
        <f>'Muestras Tintas'!O45/200</f>
        <v>1.18475</v>
      </c>
      <c r="O21" s="68"/>
    </row>
    <row r="22" spans="1:15" x14ac:dyDescent="0.3">
      <c r="A22" s="29" t="str">
        <f>'Muestras Tintas'!A46</f>
        <v>CS26NILC2-H61/66-4</v>
      </c>
      <c r="B22" s="30" t="str">
        <f>'Muestras Tintas'!B46</f>
        <v>Cabernet Sauvignon</v>
      </c>
      <c r="C22" s="30" t="str">
        <f>'Muestras Tintas'!C46</f>
        <v>Colchagua</v>
      </c>
      <c r="D22" s="30" t="str">
        <f>'Muestras Tintas'!D46</f>
        <v>NILAHUE</v>
      </c>
      <c r="E22" s="30">
        <f>'Muestras Tintas'!E46</f>
        <v>2</v>
      </c>
      <c r="F22" s="30" t="str">
        <f>'Muestras Tintas'!F46</f>
        <v>61/66</v>
      </c>
      <c r="G22" s="30"/>
      <c r="H22" s="30" t="str">
        <f>'Muestras Tintas'!G46</f>
        <v>4</v>
      </c>
      <c r="I22" s="13">
        <f>'Muestras Tintas'!H46</f>
        <v>46063</v>
      </c>
      <c r="J22" s="30">
        <f>'Muestras Tintas'!I46</f>
        <v>3.11</v>
      </c>
      <c r="K22" s="30">
        <f>'Muestras Tintas'!J46</f>
        <v>18.2</v>
      </c>
      <c r="L22" s="30">
        <f>'Muestras Tintas'!L46*0.49</f>
        <v>9.3688000000000002</v>
      </c>
      <c r="M22" s="30">
        <f>'Muestras Tintas'!M46*1.53</f>
        <v>14.334264000000001</v>
      </c>
      <c r="N22" s="59">
        <f>'Muestras Tintas'!O46/200</f>
        <v>1.3674999999999999</v>
      </c>
      <c r="O22" s="68"/>
    </row>
    <row r="23" spans="1:15" x14ac:dyDescent="0.3">
      <c r="A23" s="29" t="str">
        <f>'Muestras Tintas'!A47</f>
        <v>CS26NILC2-H61/66-5</v>
      </c>
      <c r="B23" s="30" t="str">
        <f>'Muestras Tintas'!B47</f>
        <v>Cabernet Sauvignon</v>
      </c>
      <c r="C23" s="30" t="str">
        <f>'Muestras Tintas'!C47</f>
        <v>Colchagua</v>
      </c>
      <c r="D23" s="30" t="str">
        <f>'Muestras Tintas'!D47</f>
        <v>NILAHUE</v>
      </c>
      <c r="E23" s="30">
        <f>'Muestras Tintas'!E47</f>
        <v>2</v>
      </c>
      <c r="F23" s="30" t="str">
        <f>'Muestras Tintas'!F47</f>
        <v>61/66</v>
      </c>
      <c r="G23" s="30"/>
      <c r="H23" s="30" t="str">
        <f>'Muestras Tintas'!G47</f>
        <v>5</v>
      </c>
      <c r="I23" s="13">
        <f>'Muestras Tintas'!H47</f>
        <v>46070</v>
      </c>
      <c r="J23" s="30">
        <f>'Muestras Tintas'!I47</f>
        <v>3.13</v>
      </c>
      <c r="K23" s="30">
        <f>'Muestras Tintas'!J47</f>
        <v>20</v>
      </c>
      <c r="L23" s="30">
        <f>'Muestras Tintas'!L47*0.49</f>
        <v>8.0849999999999991</v>
      </c>
      <c r="M23" s="30">
        <f>'Muestras Tintas'!M47*1.53</f>
        <v>12.370049999999999</v>
      </c>
      <c r="N23" s="59">
        <f>'Muestras Tintas'!O47/200</f>
        <v>1.3895</v>
      </c>
      <c r="O23" s="68"/>
    </row>
    <row r="24" spans="1:15" x14ac:dyDescent="0.3">
      <c r="A24" s="29" t="str">
        <f>'Muestras Tintas'!A48</f>
        <v>CS26NILC2-H61/66-6</v>
      </c>
      <c r="B24" s="30" t="str">
        <f>'Muestras Tintas'!B48</f>
        <v>Cabernet Sauvignon</v>
      </c>
      <c r="C24" s="30" t="str">
        <f>'Muestras Tintas'!C48</f>
        <v>Colchagua</v>
      </c>
      <c r="D24" s="30" t="str">
        <f>'Muestras Tintas'!D48</f>
        <v>NILAHUE</v>
      </c>
      <c r="E24" s="30">
        <f>'Muestras Tintas'!E48</f>
        <v>2</v>
      </c>
      <c r="F24" s="30" t="str">
        <f>'Muestras Tintas'!F48</f>
        <v>61/66</v>
      </c>
      <c r="G24" s="30"/>
      <c r="H24" s="30" t="str">
        <f>'Muestras Tintas'!G48</f>
        <v>6</v>
      </c>
      <c r="I24" s="13">
        <f>'Muestras Tintas'!H48</f>
        <v>46077</v>
      </c>
      <c r="J24" s="30">
        <f>'Muestras Tintas'!I48</f>
        <v>3.1</v>
      </c>
      <c r="K24" s="30">
        <f>'Muestras Tintas'!J48</f>
        <v>20.7</v>
      </c>
      <c r="L24" s="30">
        <f>'Muestras Tintas'!L48*0.49</f>
        <v>7.2029999999999994</v>
      </c>
      <c r="M24" s="30">
        <f>'Muestras Tintas'!M48*1.53</f>
        <v>11.020589999999999</v>
      </c>
      <c r="N24" s="59">
        <f>'Muestras Tintas'!O48/200</f>
        <v>1.4555</v>
      </c>
      <c r="O24" s="68"/>
    </row>
    <row r="25" spans="1:15" x14ac:dyDescent="0.3">
      <c r="A25" s="29" t="str">
        <f>'Muestras Tintas'!A49</f>
        <v>CS26NILC2-H61/66-7</v>
      </c>
      <c r="B25" s="30" t="str">
        <f>'Muestras Tintas'!B49</f>
        <v>Cabernet Sauvignon</v>
      </c>
      <c r="C25" s="30" t="str">
        <f>'Muestras Tintas'!C49</f>
        <v>Colchagua</v>
      </c>
      <c r="D25" s="30" t="str">
        <f>'Muestras Tintas'!D49</f>
        <v>NILAHUE</v>
      </c>
      <c r="E25" s="30">
        <f>'Muestras Tintas'!E49</f>
        <v>2</v>
      </c>
      <c r="F25" s="30" t="str">
        <f>'Muestras Tintas'!F49</f>
        <v>61/66</v>
      </c>
      <c r="G25" s="30"/>
      <c r="H25" s="30" t="str">
        <f>'Muestras Tintas'!G49</f>
        <v>7</v>
      </c>
      <c r="I25" s="13">
        <f>'Muestras Tintas'!H49</f>
        <v>46084</v>
      </c>
      <c r="J25" s="30">
        <f>'Muestras Tintas'!I49</f>
        <v>3.14</v>
      </c>
      <c r="K25" s="30">
        <f>'Muestras Tintas'!J49</f>
        <v>21.8</v>
      </c>
      <c r="L25" s="30">
        <f>'Muestras Tintas'!L49*0.49</f>
        <v>6.7031999999999998</v>
      </c>
      <c r="M25" s="30">
        <f>'Muestras Tintas'!M49*1.53</f>
        <v>10.255896</v>
      </c>
      <c r="N25" s="59">
        <f>'Muestras Tintas'!O49/200</f>
        <v>1.4715</v>
      </c>
      <c r="O25" s="68"/>
    </row>
    <row r="26" spans="1:15" x14ac:dyDescent="0.3">
      <c r="A26" s="29" t="str">
        <f>'Muestras Tintas'!A50</f>
        <v>CS26NILC2-H61/66-8</v>
      </c>
      <c r="B26" s="30" t="str">
        <f>'Muestras Tintas'!B50</f>
        <v>Cabernet Sauvignon</v>
      </c>
      <c r="C26" s="30" t="str">
        <f>'Muestras Tintas'!C50</f>
        <v>Colchagua</v>
      </c>
      <c r="D26" s="30" t="str">
        <f>'Muestras Tintas'!D50</f>
        <v>NILAHUE</v>
      </c>
      <c r="E26" s="30">
        <f>'Muestras Tintas'!E50</f>
        <v>2</v>
      </c>
      <c r="F26" s="30" t="str">
        <f>'Muestras Tintas'!F50</f>
        <v>61/66</v>
      </c>
      <c r="G26" s="30"/>
      <c r="H26" s="30" t="str">
        <f>'Muestras Tintas'!G50</f>
        <v>8</v>
      </c>
      <c r="I26" s="13">
        <f>'Muestras Tintas'!H50</f>
        <v>46091</v>
      </c>
      <c r="J26" s="30">
        <f>'Muestras Tintas'!I50</f>
        <v>3.07</v>
      </c>
      <c r="K26" s="30">
        <f>'Muestras Tintas'!J50</f>
        <v>22.4</v>
      </c>
      <c r="L26" s="30">
        <f>'Muestras Tintas'!L50*0.49</f>
        <v>5.5565999999999995</v>
      </c>
      <c r="M26" s="30">
        <f>'Muestras Tintas'!M50*1.53</f>
        <v>8.5015979999999995</v>
      </c>
      <c r="N26" s="59">
        <f>'Muestras Tintas'!O50/200</f>
        <v>1.4380000000000002</v>
      </c>
      <c r="O26" s="68"/>
    </row>
    <row r="27" spans="1:15" x14ac:dyDescent="0.3">
      <c r="A27" s="29" t="str">
        <f>'Muestras Tintas'!A51</f>
        <v>CS26NILC2-H61/66-9</v>
      </c>
      <c r="B27" s="30" t="str">
        <f>'Muestras Tintas'!B51</f>
        <v>Cabernet Sauvignon</v>
      </c>
      <c r="C27" s="30" t="str">
        <f>'Muestras Tintas'!C51</f>
        <v>Colchagua</v>
      </c>
      <c r="D27" s="30" t="str">
        <f>'Muestras Tintas'!D51</f>
        <v>NILAHUE</v>
      </c>
      <c r="E27" s="30">
        <f>'Muestras Tintas'!E51</f>
        <v>2</v>
      </c>
      <c r="F27" s="30" t="str">
        <f>'Muestras Tintas'!F51</f>
        <v>61/66</v>
      </c>
      <c r="G27" s="30"/>
      <c r="H27" s="30" t="str">
        <f>'Muestras Tintas'!G51</f>
        <v>9</v>
      </c>
      <c r="I27" s="13">
        <f>'Muestras Tintas'!H51</f>
        <v>46098</v>
      </c>
      <c r="J27" s="30">
        <f>'Muestras Tintas'!I51</f>
        <v>3.16</v>
      </c>
      <c r="K27" s="30">
        <f>'Muestras Tintas'!J51</f>
        <v>23.1</v>
      </c>
      <c r="L27" s="30">
        <f>'Muestras Tintas'!L51*0.49</f>
        <v>4.8313999999999995</v>
      </c>
      <c r="M27" s="30">
        <f>'Muestras Tintas'!M51*1.53</f>
        <v>7.3920419999999991</v>
      </c>
      <c r="N27" s="59">
        <f>'Muestras Tintas'!O51/200</f>
        <v>1.38</v>
      </c>
      <c r="O27" s="68"/>
    </row>
    <row r="28" spans="1:15" x14ac:dyDescent="0.3">
      <c r="A28" s="29" t="str">
        <f>'Muestras Tintas'!A52</f>
        <v>CS26NILC2-H61/66-10</v>
      </c>
      <c r="B28" s="30" t="str">
        <f>'Muestras Tintas'!B52</f>
        <v>Cabernet Sauvignon</v>
      </c>
      <c r="C28" s="30" t="str">
        <f>'Muestras Tintas'!C52</f>
        <v>Colchagua</v>
      </c>
      <c r="D28" s="30" t="str">
        <f>'Muestras Tintas'!D52</f>
        <v>NILAHUE</v>
      </c>
      <c r="E28" s="30">
        <f>'Muestras Tintas'!E52</f>
        <v>2</v>
      </c>
      <c r="F28" s="30" t="str">
        <f>'Muestras Tintas'!F52</f>
        <v>61/66</v>
      </c>
      <c r="G28" s="30"/>
      <c r="H28" s="30">
        <f>'Muestras Tintas'!G52</f>
        <v>10</v>
      </c>
      <c r="I28" s="13">
        <f>'Muestras Tintas'!H52</f>
        <v>46105</v>
      </c>
      <c r="J28" s="30">
        <f>'Muestras Tintas'!I52</f>
        <v>3.13</v>
      </c>
      <c r="K28" s="30">
        <f>'Muestras Tintas'!J52</f>
        <v>22.7</v>
      </c>
      <c r="L28" s="30">
        <f>'Muestras Tintas'!L52*0.49</f>
        <v>4.8853</v>
      </c>
      <c r="M28" s="30">
        <f>'Muestras Tintas'!M52*1.53</f>
        <v>7.4745090000000003</v>
      </c>
      <c r="N28" s="59">
        <f>'Muestras Tintas'!O52/200</f>
        <v>1.405</v>
      </c>
      <c r="O28" s="68"/>
    </row>
    <row r="29" spans="1:15" x14ac:dyDescent="0.3">
      <c r="A29" s="29" t="str">
        <f>'Muestras Tintas'!A53</f>
        <v>CS26NILC2-H61/66-11</v>
      </c>
      <c r="B29" s="30" t="str">
        <f>'Muestras Tintas'!B53</f>
        <v>Cabernet Sauvignon</v>
      </c>
      <c r="C29" s="30" t="str">
        <f>'Muestras Tintas'!C53</f>
        <v>Colchagua</v>
      </c>
      <c r="D29" s="30" t="str">
        <f>'Muestras Tintas'!D53</f>
        <v>NILAHUE</v>
      </c>
      <c r="E29" s="30">
        <f>'Muestras Tintas'!E53</f>
        <v>2</v>
      </c>
      <c r="F29" s="30" t="str">
        <f>'Muestras Tintas'!F53</f>
        <v>61/66</v>
      </c>
      <c r="G29" s="30"/>
      <c r="H29" s="30">
        <f>'Muestras Tintas'!G53</f>
        <v>11</v>
      </c>
      <c r="I29" s="13">
        <f>'Muestras Tintas'!H53</f>
        <v>46112</v>
      </c>
      <c r="J29" s="30">
        <f>'Muestras Tintas'!I53</f>
        <v>3.21</v>
      </c>
      <c r="K29" s="30">
        <f>'Muestras Tintas'!J53</f>
        <v>25.7</v>
      </c>
      <c r="L29" s="30">
        <f>'Muestras Tintas'!L53*0.49</f>
        <v>5.0763999999999996</v>
      </c>
      <c r="M29" s="30">
        <f>'Muestras Tintas'!M53*1.53</f>
        <v>7.7668919999999995</v>
      </c>
      <c r="N29" s="59">
        <f>'Muestras Tintas'!O53/200</f>
        <v>1.3149999999999999</v>
      </c>
      <c r="O29" s="68"/>
    </row>
    <row r="30" spans="1:15" x14ac:dyDescent="0.3">
      <c r="A30" s="29" t="str">
        <f>'Muestras Tintas'!A54</f>
        <v>CS26NILC2-H61/66-12</v>
      </c>
      <c r="B30" s="30" t="str">
        <f>'Muestras Tintas'!B54</f>
        <v>Cabernet Sauvignon</v>
      </c>
      <c r="C30" s="30" t="str">
        <f>'Muestras Tintas'!C54</f>
        <v>Colchagua</v>
      </c>
      <c r="D30" s="30" t="str">
        <f>'Muestras Tintas'!D54</f>
        <v>NILAHUE</v>
      </c>
      <c r="E30" s="30">
        <f>'Muestras Tintas'!E54</f>
        <v>2</v>
      </c>
      <c r="F30" s="30" t="str">
        <f>'Muestras Tintas'!F54</f>
        <v>61/66</v>
      </c>
      <c r="G30" s="30"/>
      <c r="H30" s="30">
        <f>'Muestras Tintas'!G54</f>
        <v>12</v>
      </c>
      <c r="I30" s="13">
        <f>'Muestras Tintas'!H54</f>
        <v>46119</v>
      </c>
      <c r="J30" s="30">
        <f>'Muestras Tintas'!I54</f>
        <v>3.26</v>
      </c>
      <c r="K30" s="30">
        <f>'Muestras Tintas'!J54</f>
        <v>25.2</v>
      </c>
      <c r="L30" s="30">
        <f>'Muestras Tintas'!L54*0.49</f>
        <v>4.2777000000000003</v>
      </c>
      <c r="M30" s="30">
        <f>'Muestras Tintas'!M54*1.53</f>
        <v>6.5448810000000002</v>
      </c>
      <c r="N30" s="59">
        <f>'Muestras Tintas'!O54/200</f>
        <v>1.25</v>
      </c>
      <c r="O30" s="68"/>
    </row>
    <row r="31" spans="1:15" x14ac:dyDescent="0.3">
      <c r="A31" s="31" t="str">
        <f>'Muestras Tintas'!A55</f>
        <v>CS26NILC2-H61/66-13</v>
      </c>
      <c r="B31" s="32" t="str">
        <f>'Muestras Tintas'!B55</f>
        <v>Cabernet Sauvignon</v>
      </c>
      <c r="C31" s="32" t="str">
        <f>'Muestras Tintas'!C55</f>
        <v>Colchagua</v>
      </c>
      <c r="D31" s="32" t="str">
        <f>'Muestras Tintas'!D55</f>
        <v>NILAHUE</v>
      </c>
      <c r="E31" s="32">
        <f>'Muestras Tintas'!E55</f>
        <v>2</v>
      </c>
      <c r="F31" s="32" t="str">
        <f>'Muestras Tintas'!F55</f>
        <v>61/66</v>
      </c>
      <c r="G31" s="32"/>
      <c r="H31" s="32">
        <f>'Muestras Tintas'!G55</f>
        <v>13</v>
      </c>
      <c r="I31" s="40">
        <f>'Muestras Tintas'!H55</f>
        <v>46126</v>
      </c>
      <c r="J31" s="32">
        <f>'Muestras Tintas'!I55</f>
        <v>3.22</v>
      </c>
      <c r="K31" s="32">
        <f>'Muestras Tintas'!J55</f>
        <v>25</v>
      </c>
      <c r="L31" s="32">
        <f>'Muestras Tintas'!L55*0.49</f>
        <v>5.0322999999999993</v>
      </c>
      <c r="M31" s="32">
        <f>'Muestras Tintas'!M55*1.53</f>
        <v>7.6994189999999989</v>
      </c>
      <c r="N31" s="60">
        <f>'Muestras Tintas'!O55/200</f>
        <v>1.3009999999999999</v>
      </c>
      <c r="O31" s="7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ED54-9BAA-46AA-98EA-6BF7ACF40F66}">
  <sheetPr codeName="Hoja4">
    <tabColor rgb="FFFFFF00"/>
  </sheetPr>
  <dimension ref="A2:O32"/>
  <sheetViews>
    <sheetView topLeftCell="A14" workbookViewId="0">
      <selection activeCell="M33" sqref="M33"/>
    </sheetView>
  </sheetViews>
  <sheetFormatPr baseColWidth="10" defaultColWidth="8.88671875" defaultRowHeight="14.4" x14ac:dyDescent="0.3"/>
  <cols>
    <col min="1" max="1" width="25.44140625" bestFit="1" customWidth="1"/>
    <col min="2" max="2" width="10.6640625" bestFit="1" customWidth="1"/>
    <col min="3" max="3" width="10.4414062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45" t="s">
        <v>255</v>
      </c>
      <c r="B4" s="46" t="s">
        <v>51</v>
      </c>
      <c r="C4" s="64" t="str">
        <f>'Muestras Tintas'!C39</f>
        <v>Colchagua</v>
      </c>
      <c r="D4" s="46" t="s">
        <v>105</v>
      </c>
      <c r="E4" s="46">
        <v>93</v>
      </c>
      <c r="F4" s="46" t="s">
        <v>256</v>
      </c>
      <c r="G4" s="46"/>
      <c r="H4" s="46">
        <v>1</v>
      </c>
      <c r="I4" s="47">
        <v>45698</v>
      </c>
      <c r="J4" s="46">
        <v>3.14</v>
      </c>
      <c r="K4" s="46">
        <v>19.399999999999999</v>
      </c>
      <c r="L4" s="46">
        <v>5.0861999999999998</v>
      </c>
      <c r="M4" s="46">
        <v>7.7819000000000003</v>
      </c>
      <c r="N4" s="48">
        <v>1.88</v>
      </c>
    </row>
    <row r="5" spans="1:14" x14ac:dyDescent="0.3">
      <c r="A5" s="49" t="s">
        <v>257</v>
      </c>
      <c r="B5" s="42" t="s">
        <v>51</v>
      </c>
      <c r="C5" s="67" t="str">
        <f>'Muestras Tintas'!C40</f>
        <v>Colchagua</v>
      </c>
      <c r="D5" s="42" t="s">
        <v>105</v>
      </c>
      <c r="E5" s="42">
        <v>93</v>
      </c>
      <c r="F5" s="42" t="s">
        <v>256</v>
      </c>
      <c r="G5" s="42"/>
      <c r="H5" s="42">
        <v>2</v>
      </c>
      <c r="I5" s="41">
        <v>45705</v>
      </c>
      <c r="J5" s="42">
        <v>3.22</v>
      </c>
      <c r="K5" s="42">
        <v>20.2</v>
      </c>
      <c r="L5" s="42">
        <v>4.9097999999999997</v>
      </c>
      <c r="M5" s="42">
        <v>7.5119999999999996</v>
      </c>
      <c r="N5" s="50">
        <v>1.86</v>
      </c>
    </row>
    <row r="6" spans="1:14" x14ac:dyDescent="0.3">
      <c r="A6" s="49" t="s">
        <v>258</v>
      </c>
      <c r="B6" s="42" t="s">
        <v>51</v>
      </c>
      <c r="C6" s="67" t="str">
        <f>'Muestras Tintas'!C43</f>
        <v>Colchagua</v>
      </c>
      <c r="D6" s="42" t="s">
        <v>105</v>
      </c>
      <c r="E6" s="42">
        <v>93</v>
      </c>
      <c r="F6" s="42" t="s">
        <v>256</v>
      </c>
      <c r="G6" s="42"/>
      <c r="H6" s="42">
        <v>3</v>
      </c>
      <c r="I6" s="41">
        <v>45712</v>
      </c>
      <c r="J6" s="42">
        <v>3.29</v>
      </c>
      <c r="K6" s="42">
        <v>21.5</v>
      </c>
      <c r="L6" s="42">
        <v>4.2923999999999998</v>
      </c>
      <c r="M6" s="42">
        <v>6.5674000000000001</v>
      </c>
      <c r="N6" s="50">
        <v>1.9</v>
      </c>
    </row>
    <row r="7" spans="1:14" x14ac:dyDescent="0.3">
      <c r="A7" s="49" t="s">
        <v>259</v>
      </c>
      <c r="B7" s="42" t="s">
        <v>51</v>
      </c>
      <c r="C7" s="67" t="str">
        <f>'Muestras Tintas'!C44</f>
        <v>Colchagua</v>
      </c>
      <c r="D7" s="42" t="s">
        <v>105</v>
      </c>
      <c r="E7" s="42">
        <v>93</v>
      </c>
      <c r="F7" s="42" t="s">
        <v>256</v>
      </c>
      <c r="G7" s="42"/>
      <c r="H7" s="42">
        <v>4</v>
      </c>
      <c r="I7" s="41">
        <v>45719</v>
      </c>
      <c r="J7" s="42">
        <v>3.41</v>
      </c>
      <c r="K7" s="42">
        <v>22</v>
      </c>
      <c r="L7" s="42">
        <v>3.8807999999999998</v>
      </c>
      <c r="M7" s="42">
        <v>5.9375999999999998</v>
      </c>
      <c r="N7" s="50">
        <v>2.1</v>
      </c>
    </row>
    <row r="8" spans="1:14" x14ac:dyDescent="0.3">
      <c r="A8" s="49" t="s">
        <v>260</v>
      </c>
      <c r="B8" s="42" t="s">
        <v>51</v>
      </c>
      <c r="C8" s="67" t="str">
        <f>'Muestras Tintas'!C45</f>
        <v>Colchagua</v>
      </c>
      <c r="D8" s="42" t="s">
        <v>105</v>
      </c>
      <c r="E8" s="42">
        <v>93</v>
      </c>
      <c r="F8" s="42" t="s">
        <v>256</v>
      </c>
      <c r="G8" s="42"/>
      <c r="H8" s="42">
        <v>5</v>
      </c>
      <c r="I8" s="41">
        <v>45726</v>
      </c>
      <c r="J8" s="42">
        <v>3.54</v>
      </c>
      <c r="K8" s="42">
        <v>22.2</v>
      </c>
      <c r="L8" s="42">
        <v>3.4691999999999998</v>
      </c>
      <c r="M8" s="42">
        <v>5.3079000000000001</v>
      </c>
      <c r="N8" s="50">
        <v>2.3199999999999998</v>
      </c>
    </row>
    <row r="9" spans="1:14" x14ac:dyDescent="0.3">
      <c r="A9" s="49" t="s">
        <v>261</v>
      </c>
      <c r="B9" s="42" t="s">
        <v>51</v>
      </c>
      <c r="C9" s="67" t="str">
        <f>'Muestras Tintas'!C46</f>
        <v>Colchagua</v>
      </c>
      <c r="D9" s="42" t="s">
        <v>105</v>
      </c>
      <c r="E9" s="42">
        <v>93</v>
      </c>
      <c r="F9" s="42" t="s">
        <v>256</v>
      </c>
      <c r="G9" s="16">
        <v>45733</v>
      </c>
      <c r="H9" s="42">
        <v>6</v>
      </c>
      <c r="I9" s="41">
        <v>45733</v>
      </c>
      <c r="J9" s="42">
        <v>3.55</v>
      </c>
      <c r="K9" s="42">
        <v>22.4</v>
      </c>
      <c r="L9" s="42">
        <v>3.4447000000000001</v>
      </c>
      <c r="M9" s="42">
        <v>5.2704000000000004</v>
      </c>
      <c r="N9" s="50">
        <v>1.98</v>
      </c>
    </row>
    <row r="10" spans="1:14" x14ac:dyDescent="0.3">
      <c r="A10" s="49" t="s">
        <v>262</v>
      </c>
      <c r="B10" s="42" t="s">
        <v>51</v>
      </c>
      <c r="C10" s="67" t="str">
        <f>'Muestras Tintas'!C47</f>
        <v>Colchagua</v>
      </c>
      <c r="D10" s="42" t="s">
        <v>105</v>
      </c>
      <c r="E10" s="42">
        <v>93</v>
      </c>
      <c r="F10" s="42" t="s">
        <v>256</v>
      </c>
      <c r="G10" s="43">
        <v>45740</v>
      </c>
      <c r="H10" s="42">
        <v>7</v>
      </c>
      <c r="I10" s="41">
        <v>45740</v>
      </c>
      <c r="J10" s="42">
        <v>3.66</v>
      </c>
      <c r="K10" s="56">
        <v>23.2</v>
      </c>
      <c r="L10" s="42">
        <v>3.2094999999999998</v>
      </c>
      <c r="M10" s="42">
        <v>4.9104999999999999</v>
      </c>
      <c r="N10" s="50">
        <v>2.09</v>
      </c>
    </row>
    <row r="11" spans="1:14" x14ac:dyDescent="0.3">
      <c r="A11" s="49" t="s">
        <v>263</v>
      </c>
      <c r="B11" s="42" t="s">
        <v>51</v>
      </c>
      <c r="C11" s="67" t="str">
        <f>'Muestras Tintas'!C48</f>
        <v>Colchagua</v>
      </c>
      <c r="D11" s="42" t="s">
        <v>105</v>
      </c>
      <c r="E11" s="42">
        <v>93</v>
      </c>
      <c r="F11" s="42" t="s">
        <v>256</v>
      </c>
      <c r="G11" s="44">
        <v>45750</v>
      </c>
      <c r="H11" s="42">
        <v>8</v>
      </c>
      <c r="I11" s="41">
        <v>45750</v>
      </c>
      <c r="J11" s="42">
        <v>3.75</v>
      </c>
      <c r="K11" s="56">
        <v>23.8</v>
      </c>
      <c r="L11" s="42">
        <v>2.7391000000000001</v>
      </c>
      <c r="M11" s="42">
        <v>4.1908000000000003</v>
      </c>
      <c r="N11" s="50">
        <v>2.4500000000000002</v>
      </c>
    </row>
    <row r="12" spans="1:14" x14ac:dyDescent="0.3">
      <c r="A12" s="49" t="s">
        <v>264</v>
      </c>
      <c r="B12" s="42" t="s">
        <v>51</v>
      </c>
      <c r="C12" s="67" t="str">
        <f>'Muestras Tintas'!C49</f>
        <v>Colchagua</v>
      </c>
      <c r="D12" s="42" t="s">
        <v>105</v>
      </c>
      <c r="E12" s="42">
        <v>93</v>
      </c>
      <c r="F12" s="42" t="s">
        <v>256</v>
      </c>
      <c r="G12" s="43">
        <v>45764</v>
      </c>
      <c r="H12" s="42">
        <v>9</v>
      </c>
      <c r="I12" s="41">
        <v>45764</v>
      </c>
      <c r="J12" s="42">
        <v>3.92</v>
      </c>
      <c r="K12" s="56">
        <v>23.9</v>
      </c>
      <c r="L12" s="42">
        <v>2.4990000000000001</v>
      </c>
      <c r="M12" s="42">
        <v>3.8235000000000001</v>
      </c>
      <c r="N12" s="50">
        <v>1.87</v>
      </c>
    </row>
    <row r="13" spans="1:14" x14ac:dyDescent="0.3">
      <c r="A13" s="49" t="s">
        <v>265</v>
      </c>
      <c r="B13" s="42" t="s">
        <v>51</v>
      </c>
      <c r="C13" s="67" t="str">
        <f>'Muestras Tintas'!C50</f>
        <v>Colchagua</v>
      </c>
      <c r="D13" s="42" t="s">
        <v>105</v>
      </c>
      <c r="E13" s="42">
        <v>93</v>
      </c>
      <c r="F13" s="42" t="s">
        <v>256</v>
      </c>
      <c r="G13" s="44">
        <v>45777</v>
      </c>
      <c r="H13" s="42">
        <v>10</v>
      </c>
      <c r="I13" s="41">
        <v>45777</v>
      </c>
      <c r="J13" s="42">
        <v>4.12</v>
      </c>
      <c r="K13" s="56">
        <v>25.3</v>
      </c>
      <c r="L13" s="42">
        <v>2.1951999999999998</v>
      </c>
      <c r="M13" s="42">
        <v>3.3586999999999998</v>
      </c>
      <c r="N13" s="50">
        <v>2.0499999999999998</v>
      </c>
    </row>
    <row r="14" spans="1:14" x14ac:dyDescent="0.3">
      <c r="A14" s="51" t="s">
        <v>266</v>
      </c>
      <c r="B14" s="52" t="s">
        <v>51</v>
      </c>
      <c r="C14" s="70" t="str">
        <f>'Muestras Tintas'!C51</f>
        <v>Colchagua</v>
      </c>
      <c r="D14" s="52" t="s">
        <v>105</v>
      </c>
      <c r="E14" s="52">
        <v>93</v>
      </c>
      <c r="F14" s="52" t="s">
        <v>256</v>
      </c>
      <c r="G14" s="72">
        <v>45783</v>
      </c>
      <c r="H14" s="52">
        <v>11</v>
      </c>
      <c r="I14" s="54">
        <v>45783</v>
      </c>
      <c r="J14" s="52">
        <v>3.74</v>
      </c>
      <c r="K14" s="57">
        <v>24.5</v>
      </c>
      <c r="L14" s="52">
        <v>2.3715999999999999</v>
      </c>
      <c r="M14" s="52">
        <v>3.6284999999999998</v>
      </c>
      <c r="N14" s="55">
        <v>2.4900000000000002</v>
      </c>
    </row>
    <row r="16" spans="1:14" x14ac:dyDescent="0.3">
      <c r="A16" s="61">
        <v>2026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2"/>
    </row>
    <row r="17" spans="1:15" x14ac:dyDescent="0.3">
      <c r="A17" s="37" t="s">
        <v>0</v>
      </c>
      <c r="B17" s="26" t="s">
        <v>1</v>
      </c>
      <c r="C17" s="26" t="s">
        <v>225</v>
      </c>
      <c r="D17" s="26" t="s">
        <v>3</v>
      </c>
      <c r="E17" s="26" t="s">
        <v>4</v>
      </c>
      <c r="F17" s="26" t="s">
        <v>5</v>
      </c>
      <c r="G17" s="26" t="s">
        <v>226</v>
      </c>
      <c r="H17" s="26" t="s">
        <v>227</v>
      </c>
      <c r="I17" s="26" t="s">
        <v>228</v>
      </c>
      <c r="J17" s="26" t="s">
        <v>8</v>
      </c>
      <c r="K17" s="38" t="s">
        <v>9</v>
      </c>
      <c r="L17" s="26" t="s">
        <v>12</v>
      </c>
      <c r="M17" s="7" t="s">
        <v>13</v>
      </c>
      <c r="N17" s="39" t="s">
        <v>16</v>
      </c>
      <c r="O17" s="39" t="s">
        <v>241</v>
      </c>
    </row>
    <row r="18" spans="1:15" x14ac:dyDescent="0.3">
      <c r="A18" s="63" t="str">
        <f>'Muestras Tintas'!A56</f>
        <v>CA26PEUC93-H267/271-1</v>
      </c>
      <c r="B18" s="64" t="str">
        <f>'Muestras Tintas'!B56</f>
        <v>Carmenere</v>
      </c>
      <c r="C18" s="64" t="str">
        <f>'Muestras Tintas'!C56</f>
        <v>Cachapoal</v>
      </c>
      <c r="D18" s="64" t="str">
        <f>'Muestras Tintas'!D56</f>
        <v>PEUMO</v>
      </c>
      <c r="E18" s="64">
        <f>'Muestras Tintas'!E56</f>
        <v>93</v>
      </c>
      <c r="F18" s="64" t="str">
        <f>'Muestras Tintas'!F56</f>
        <v>267/271</v>
      </c>
      <c r="G18" s="64"/>
      <c r="H18" s="64" t="str">
        <f>'Muestras Tintas'!G56</f>
        <v>1</v>
      </c>
      <c r="I18" s="35">
        <f>'Muestras Tintas'!H56</f>
        <v>46044</v>
      </c>
      <c r="J18" s="64">
        <f>'Muestras Tintas'!I56</f>
        <v>2.98</v>
      </c>
      <c r="K18" s="64">
        <f>'Muestras Tintas'!J56</f>
        <v>15.1</v>
      </c>
      <c r="L18" s="64">
        <f>'Muestras Tintas'!L56*0.49</f>
        <v>8.4770000000000003</v>
      </c>
      <c r="M18" s="64">
        <f>'Muestras Tintas'!M56*1.53</f>
        <v>12.969810000000001</v>
      </c>
      <c r="N18" s="64">
        <f>'Muestras Tintas'!O56/200</f>
        <v>1.5037499999999999</v>
      </c>
      <c r="O18" s="65"/>
    </row>
    <row r="19" spans="1:15" x14ac:dyDescent="0.3">
      <c r="A19" s="66" t="str">
        <f>'Muestras Tintas'!A57</f>
        <v>CA26PEUC93-H267/271-2</v>
      </c>
      <c r="B19" s="67" t="str">
        <f>'Muestras Tintas'!B57</f>
        <v>Carmenere</v>
      </c>
      <c r="C19" s="67" t="str">
        <f>'Muestras Tintas'!C57</f>
        <v>Cachapoal</v>
      </c>
      <c r="D19" s="67" t="str">
        <f>'Muestras Tintas'!D57</f>
        <v>PEUMO</v>
      </c>
      <c r="E19" s="67">
        <f>'Muestras Tintas'!E57</f>
        <v>93</v>
      </c>
      <c r="F19" s="67" t="str">
        <f>'Muestras Tintas'!F57</f>
        <v>267/271</v>
      </c>
      <c r="G19" s="67"/>
      <c r="H19" s="67" t="str">
        <f>'Muestras Tintas'!G57</f>
        <v>2</v>
      </c>
      <c r="I19" s="13">
        <f>'Muestras Tintas'!H57</f>
        <v>46050</v>
      </c>
      <c r="J19" s="67">
        <f>'Muestras Tintas'!I57</f>
        <v>3.07</v>
      </c>
      <c r="K19" s="67">
        <f>'Muestras Tintas'!J57</f>
        <v>16.2</v>
      </c>
      <c r="L19" s="67">
        <f>'Muestras Tintas'!L57*0.49</f>
        <v>7.5263999999999998</v>
      </c>
      <c r="M19" s="67">
        <f>'Muestras Tintas'!M57*1.53</f>
        <v>11.515392</v>
      </c>
      <c r="N19" s="67">
        <f>'Muestras Tintas'!O57/200</f>
        <v>1.5630000000000002</v>
      </c>
      <c r="O19" s="68"/>
    </row>
    <row r="20" spans="1:15" x14ac:dyDescent="0.3">
      <c r="A20" s="66" t="str">
        <f>'Muestras Tintas'!A58</f>
        <v>CA26PEUC93-H267/271-3</v>
      </c>
      <c r="B20" s="67" t="str">
        <f>'Muestras Tintas'!B58</f>
        <v>Carmenere</v>
      </c>
      <c r="C20" s="67" t="str">
        <f>'Muestras Tintas'!C58</f>
        <v>Cachapoal</v>
      </c>
      <c r="D20" s="67" t="str">
        <f>'Muestras Tintas'!D58</f>
        <v>PEUMO</v>
      </c>
      <c r="E20" s="67">
        <f>'Muestras Tintas'!E58</f>
        <v>93</v>
      </c>
      <c r="F20" s="67" t="str">
        <f>'Muestras Tintas'!F58</f>
        <v>267/271</v>
      </c>
      <c r="G20" s="67"/>
      <c r="H20" s="67" t="str">
        <f>'Muestras Tintas'!G58</f>
        <v>3</v>
      </c>
      <c r="I20" s="13">
        <f>'Muestras Tintas'!H58</f>
        <v>46057</v>
      </c>
      <c r="J20" s="67">
        <f>'Muestras Tintas'!I58</f>
        <v>3.18</v>
      </c>
      <c r="K20" s="67">
        <f>'Muestras Tintas'!J58</f>
        <v>18.399999999999999</v>
      </c>
      <c r="L20" s="67">
        <f>'Muestras Tintas'!L58*0.49</f>
        <v>5.2919999999999998</v>
      </c>
      <c r="M20" s="67">
        <f>'Muestras Tintas'!M58*1.53</f>
        <v>8.0967599999999997</v>
      </c>
      <c r="N20" s="67">
        <f>'Muestras Tintas'!O58/200</f>
        <v>1.7135</v>
      </c>
      <c r="O20" s="68"/>
    </row>
    <row r="21" spans="1:15" x14ac:dyDescent="0.3">
      <c r="A21" s="66" t="str">
        <f>'Muestras Tintas'!A59</f>
        <v>CA26PEUC93-H267/271-4</v>
      </c>
      <c r="B21" s="67" t="str">
        <f>'Muestras Tintas'!B59</f>
        <v>Carmenere</v>
      </c>
      <c r="C21" s="67" t="str">
        <f>'Muestras Tintas'!C59</f>
        <v>Cachapoal</v>
      </c>
      <c r="D21" s="67" t="str">
        <f>'Muestras Tintas'!D59</f>
        <v>PEUMO</v>
      </c>
      <c r="E21" s="67">
        <f>'Muestras Tintas'!E59</f>
        <v>93</v>
      </c>
      <c r="F21" s="67" t="str">
        <f>'Muestras Tintas'!F59</f>
        <v>267/271</v>
      </c>
      <c r="G21" s="67"/>
      <c r="H21" s="67" t="str">
        <f>'Muestras Tintas'!G59</f>
        <v>4</v>
      </c>
      <c r="I21" s="13">
        <f>'Muestras Tintas'!H59</f>
        <v>46064</v>
      </c>
      <c r="J21" s="67">
        <f>'Muestras Tintas'!I59</f>
        <v>3.33</v>
      </c>
      <c r="K21" s="67">
        <f>'Muestras Tintas'!J59</f>
        <v>19.3</v>
      </c>
      <c r="L21" s="67">
        <f>'Muestras Tintas'!L59*0.49</f>
        <v>4.5962000000000005</v>
      </c>
      <c r="M21" s="67">
        <f>'Muestras Tintas'!M59*1.53</f>
        <v>7.0321860000000012</v>
      </c>
      <c r="N21" s="67">
        <f>'Muestras Tintas'!O59/200</f>
        <v>2.0165000000000002</v>
      </c>
      <c r="O21" s="68"/>
    </row>
    <row r="22" spans="1:15" x14ac:dyDescent="0.3">
      <c r="A22" s="66" t="str">
        <f>'Muestras Tintas'!A60</f>
        <v>CA26PEUC93-H267/271-5</v>
      </c>
      <c r="B22" s="67" t="str">
        <f>'Muestras Tintas'!B60</f>
        <v>Carmenere</v>
      </c>
      <c r="C22" s="67" t="str">
        <f>'Muestras Tintas'!C60</f>
        <v>Cachapoal</v>
      </c>
      <c r="D22" s="67" t="str">
        <f>'Muestras Tintas'!D60</f>
        <v>PEUMO</v>
      </c>
      <c r="E22" s="67">
        <f>'Muestras Tintas'!E60</f>
        <v>93</v>
      </c>
      <c r="F22" s="67" t="str">
        <f>'Muestras Tintas'!F60</f>
        <v>267/271</v>
      </c>
      <c r="G22" s="67"/>
      <c r="H22" s="67" t="str">
        <f>'Muestras Tintas'!G60</f>
        <v>5</v>
      </c>
      <c r="I22" s="13">
        <f>'Muestras Tintas'!H60</f>
        <v>46071</v>
      </c>
      <c r="J22" s="67">
        <f>'Muestras Tintas'!I60</f>
        <v>3.45</v>
      </c>
      <c r="K22" s="67">
        <f>'Muestras Tintas'!J60</f>
        <v>20.6</v>
      </c>
      <c r="L22" s="67">
        <f>'Muestras Tintas'!L60*0.49</f>
        <v>3.7043999999999997</v>
      </c>
      <c r="M22" s="67">
        <f>'Muestras Tintas'!M60*1.53</f>
        <v>5.667732</v>
      </c>
      <c r="N22" s="67">
        <f>'Muestras Tintas'!O60/200</f>
        <v>1.9340000000000002</v>
      </c>
      <c r="O22" s="68"/>
    </row>
    <row r="23" spans="1:15" x14ac:dyDescent="0.3">
      <c r="A23" s="66" t="str">
        <f>'Muestras Tintas'!A61</f>
        <v>CA26PEUC93-H267/271-6</v>
      </c>
      <c r="B23" s="67" t="str">
        <f>'Muestras Tintas'!B61</f>
        <v>Carmenere</v>
      </c>
      <c r="C23" s="67" t="str">
        <f>'Muestras Tintas'!C61</f>
        <v>Cachapoal</v>
      </c>
      <c r="D23" s="67" t="str">
        <f>'Muestras Tintas'!D61</f>
        <v>PEUMO</v>
      </c>
      <c r="E23" s="67">
        <f>'Muestras Tintas'!E61</f>
        <v>93</v>
      </c>
      <c r="F23" s="67" t="str">
        <f>'Muestras Tintas'!F61</f>
        <v>267/271</v>
      </c>
      <c r="G23" s="67"/>
      <c r="H23" s="67" t="str">
        <f>'Muestras Tintas'!G61</f>
        <v>6</v>
      </c>
      <c r="I23" s="13">
        <f>'Muestras Tintas'!H61</f>
        <v>46078</v>
      </c>
      <c r="J23" s="67">
        <f>'Muestras Tintas'!I61</f>
        <v>3.47</v>
      </c>
      <c r="K23" s="67">
        <f>'Muestras Tintas'!J61</f>
        <v>21.2</v>
      </c>
      <c r="L23" s="67">
        <f>'Muestras Tintas'!L61*0.49</f>
        <v>3.3515999999999999</v>
      </c>
      <c r="M23" s="67">
        <f>'Muestras Tintas'!M61*1.53</f>
        <v>5.127948</v>
      </c>
      <c r="N23" s="67">
        <f>'Muestras Tintas'!O61/200</f>
        <v>1.7934999999999999</v>
      </c>
      <c r="O23" s="68"/>
    </row>
    <row r="24" spans="1:15" x14ac:dyDescent="0.3">
      <c r="A24" s="66" t="str">
        <f>'Muestras Tintas'!A62</f>
        <v>CA26PEUC93-H267/271-7</v>
      </c>
      <c r="B24" s="67" t="str">
        <f>'Muestras Tintas'!B62</f>
        <v>Carmenere</v>
      </c>
      <c r="C24" s="67" t="str">
        <f>'Muestras Tintas'!C62</f>
        <v>Cachapoal</v>
      </c>
      <c r="D24" s="67" t="str">
        <f>'Muestras Tintas'!D62</f>
        <v>PEUMO</v>
      </c>
      <c r="E24" s="67">
        <f>'Muestras Tintas'!E62</f>
        <v>93</v>
      </c>
      <c r="F24" s="67" t="str">
        <f>'Muestras Tintas'!F62</f>
        <v>267/271</v>
      </c>
      <c r="G24" s="67"/>
      <c r="H24" s="67" t="str">
        <f>'Muestras Tintas'!G62</f>
        <v>7</v>
      </c>
      <c r="I24" s="13">
        <f>'Muestras Tintas'!H62</f>
        <v>46085</v>
      </c>
      <c r="J24" s="67">
        <f>'Muestras Tintas'!I62</f>
        <v>3.59</v>
      </c>
      <c r="K24" s="67">
        <f>'Muestras Tintas'!J62</f>
        <v>22.1</v>
      </c>
      <c r="L24" s="67">
        <f>'Muestras Tintas'!L62*0.49</f>
        <v>2.7881</v>
      </c>
      <c r="M24" s="67">
        <f>'Muestras Tintas'!M62*1.53</f>
        <v>4.2657930000000004</v>
      </c>
      <c r="N24" s="67">
        <f>'Muestras Tintas'!O62/200</f>
        <v>1.986</v>
      </c>
      <c r="O24" s="68"/>
    </row>
    <row r="25" spans="1:15" x14ac:dyDescent="0.3">
      <c r="A25" s="66" t="str">
        <f>'Muestras Tintas'!A63</f>
        <v>CA26PEUC93-H267/271-8</v>
      </c>
      <c r="B25" s="67" t="str">
        <f>'Muestras Tintas'!B63</f>
        <v>Carmenere</v>
      </c>
      <c r="C25" s="67" t="str">
        <f>'Muestras Tintas'!C63</f>
        <v>Cachapoal</v>
      </c>
      <c r="D25" s="67" t="str">
        <f>'Muestras Tintas'!D63</f>
        <v>PEUMO</v>
      </c>
      <c r="E25" s="67">
        <f>'Muestras Tintas'!E63</f>
        <v>93</v>
      </c>
      <c r="F25" s="67" t="str">
        <f>'Muestras Tintas'!F63</f>
        <v>267/271</v>
      </c>
      <c r="G25" s="67"/>
      <c r="H25" s="67" t="str">
        <f>'Muestras Tintas'!G63</f>
        <v>8</v>
      </c>
      <c r="I25" s="13">
        <f>'Muestras Tintas'!H63</f>
        <v>46092</v>
      </c>
      <c r="J25" s="67">
        <f>'Muestras Tintas'!I63</f>
        <v>3.63</v>
      </c>
      <c r="K25" s="67">
        <f>'Muestras Tintas'!J63</f>
        <v>22.2</v>
      </c>
      <c r="L25" s="67">
        <f>'Muestras Tintas'!L63*0.49</f>
        <v>2.6999</v>
      </c>
      <c r="M25" s="67">
        <f>'Muestras Tintas'!M63*1.53</f>
        <v>4.1308470000000002</v>
      </c>
      <c r="N25" s="67">
        <f>'Muestras Tintas'!O63/200</f>
        <v>1.827</v>
      </c>
      <c r="O25" s="68"/>
    </row>
    <row r="26" spans="1:15" x14ac:dyDescent="0.3">
      <c r="A26" s="66" t="str">
        <f>'Muestras Tintas'!A64</f>
        <v>CA26PEUC93-H267/271-9</v>
      </c>
      <c r="B26" s="67" t="str">
        <f>'Muestras Tintas'!B64</f>
        <v>Carmenere</v>
      </c>
      <c r="C26" s="67" t="str">
        <f>'Muestras Tintas'!C64</f>
        <v>Cachapoal</v>
      </c>
      <c r="D26" s="67" t="str">
        <f>'Muestras Tintas'!D64</f>
        <v>PEUMO</v>
      </c>
      <c r="E26" s="67">
        <f>'Muestras Tintas'!E64</f>
        <v>93</v>
      </c>
      <c r="F26" s="67" t="str">
        <f>'Muestras Tintas'!F64</f>
        <v>267/271</v>
      </c>
      <c r="G26" s="67"/>
      <c r="H26" s="67" t="str">
        <f>'Muestras Tintas'!G64</f>
        <v>9</v>
      </c>
      <c r="I26" s="13">
        <f>'Muestras Tintas'!H64</f>
        <v>46099</v>
      </c>
      <c r="J26" s="67">
        <f>'Muestras Tintas'!I64</f>
        <v>3.61</v>
      </c>
      <c r="K26" s="67">
        <f>'Muestras Tintas'!J64</f>
        <v>22.5</v>
      </c>
      <c r="L26" s="67">
        <f>'Muestras Tintas'!L64*0.49</f>
        <v>2.6509</v>
      </c>
      <c r="M26" s="67">
        <f>'Muestras Tintas'!M64*1.53</f>
        <v>4.0558769999999997</v>
      </c>
      <c r="N26" s="67">
        <f>'Muestras Tintas'!O64/200</f>
        <v>1.7180000000000002</v>
      </c>
      <c r="O26" s="68"/>
    </row>
    <row r="27" spans="1:15" x14ac:dyDescent="0.3">
      <c r="A27" s="66" t="str">
        <f>'Muestras Tintas'!A65</f>
        <v>CA26PEUC93-H267/271-10</v>
      </c>
      <c r="B27" s="67" t="str">
        <f>'Muestras Tintas'!B65</f>
        <v>Carmenere</v>
      </c>
      <c r="C27" s="67" t="str">
        <f>'Muestras Tintas'!C65</f>
        <v>Cachapoal</v>
      </c>
      <c r="D27" s="67" t="str">
        <f>'Muestras Tintas'!D65</f>
        <v>PEUMO</v>
      </c>
      <c r="E27" s="67">
        <f>'Muestras Tintas'!E65</f>
        <v>93</v>
      </c>
      <c r="F27" s="67" t="str">
        <f>'Muestras Tintas'!F65</f>
        <v>267/271</v>
      </c>
      <c r="G27" s="67"/>
      <c r="H27" s="67">
        <f>'Muestras Tintas'!G65</f>
        <v>10</v>
      </c>
      <c r="I27" s="13">
        <f>'Muestras Tintas'!H65</f>
        <v>46107</v>
      </c>
      <c r="J27" s="67">
        <f>'Muestras Tintas'!I65</f>
        <v>3.6</v>
      </c>
      <c r="K27" s="67">
        <f>'Muestras Tintas'!J65</f>
        <v>23.8</v>
      </c>
      <c r="L27" s="67">
        <f>'Muestras Tintas'!L65*0.49</f>
        <v>2.254</v>
      </c>
      <c r="M27" s="67">
        <f>'Muestras Tintas'!M65*1.53</f>
        <v>3.44862</v>
      </c>
      <c r="N27" s="67">
        <f>'Muestras Tintas'!O65/200</f>
        <v>1.8430000000000002</v>
      </c>
      <c r="O27" s="68"/>
    </row>
    <row r="28" spans="1:15" x14ac:dyDescent="0.3">
      <c r="A28" s="66" t="str">
        <f>'Muestras Tintas'!A66</f>
        <v>CA26PEUC93-H267/271-11</v>
      </c>
      <c r="B28" s="67" t="str">
        <f>'Muestras Tintas'!B66</f>
        <v>Carmenere</v>
      </c>
      <c r="C28" s="67" t="str">
        <f>'Muestras Tintas'!C66</f>
        <v>Cachapoal</v>
      </c>
      <c r="D28" s="67" t="str">
        <f>'Muestras Tintas'!D66</f>
        <v>PEUMO</v>
      </c>
      <c r="E28" s="67">
        <f>'Muestras Tintas'!E66</f>
        <v>93</v>
      </c>
      <c r="F28" s="67" t="str">
        <f>'Muestras Tintas'!F66</f>
        <v>267/271</v>
      </c>
      <c r="G28" s="67"/>
      <c r="H28" s="67">
        <f>'Muestras Tintas'!G66</f>
        <v>11</v>
      </c>
      <c r="I28" s="13">
        <f>'Muestras Tintas'!H66</f>
        <v>46113</v>
      </c>
      <c r="J28" s="67">
        <f>'Muestras Tintas'!I66</f>
        <v>3.75</v>
      </c>
      <c r="K28" s="67">
        <f>'Muestras Tintas'!J66</f>
        <v>23.8</v>
      </c>
      <c r="L28" s="67">
        <f>'Muestras Tintas'!L66*0.49</f>
        <v>2.1118999999999999</v>
      </c>
      <c r="M28" s="67">
        <f>'Muestras Tintas'!M66*1.53</f>
        <v>3.2312069999999999</v>
      </c>
      <c r="N28" s="67">
        <f>'Muestras Tintas'!O66/200</f>
        <v>2.0709999999999997</v>
      </c>
      <c r="O28" s="68"/>
    </row>
    <row r="29" spans="1:15" x14ac:dyDescent="0.3">
      <c r="A29" s="66" t="str">
        <f>'Muestras Tintas'!A67</f>
        <v>CA26PEUC93-H267/271-12</v>
      </c>
      <c r="B29" s="67" t="str">
        <f>'Muestras Tintas'!B67</f>
        <v>Carmenere</v>
      </c>
      <c r="C29" s="67" t="str">
        <f>'Muestras Tintas'!C67</f>
        <v>Cachapoal</v>
      </c>
      <c r="D29" s="67" t="str">
        <f>'Muestras Tintas'!D67</f>
        <v>PEUMO</v>
      </c>
      <c r="E29" s="67">
        <f>'Muestras Tintas'!E67</f>
        <v>93</v>
      </c>
      <c r="F29" s="67" t="str">
        <f>'Muestras Tintas'!F67</f>
        <v>267/271</v>
      </c>
      <c r="G29" s="67"/>
      <c r="H29" s="67">
        <f>'Muestras Tintas'!G67</f>
        <v>12</v>
      </c>
      <c r="I29" s="13">
        <f>'Muestras Tintas'!H67</f>
        <v>46120</v>
      </c>
      <c r="J29" s="67">
        <f>'Muestras Tintas'!I67</f>
        <v>3.64</v>
      </c>
      <c r="K29" s="67">
        <f>'Muestras Tintas'!J67</f>
        <v>23.8</v>
      </c>
      <c r="L29" s="67">
        <f>'Muestras Tintas'!L67*0.49</f>
        <v>2.8126000000000002</v>
      </c>
      <c r="M29" s="67">
        <f>'Muestras Tintas'!M67*1.53</f>
        <v>4.3032780000000006</v>
      </c>
      <c r="N29" s="67">
        <f>'Muestras Tintas'!O67/200</f>
        <v>1.6865000000000001</v>
      </c>
      <c r="O29" s="68"/>
    </row>
    <row r="30" spans="1:15" x14ac:dyDescent="0.3">
      <c r="A30" s="66" t="str">
        <f>'Muestras Tintas'!A68</f>
        <v>CA26PEUC93-H267/271-13</v>
      </c>
      <c r="B30" s="67" t="str">
        <f>'Muestras Tintas'!B68</f>
        <v>Carmenere</v>
      </c>
      <c r="C30" s="67" t="str">
        <f>'Muestras Tintas'!C68</f>
        <v>Cachapoal</v>
      </c>
      <c r="D30" s="67" t="str">
        <f>'Muestras Tintas'!D68</f>
        <v>PEUMO</v>
      </c>
      <c r="E30" s="67">
        <f>'Muestras Tintas'!E68</f>
        <v>93</v>
      </c>
      <c r="F30" s="67" t="str">
        <f>'Muestras Tintas'!F68</f>
        <v>267/271</v>
      </c>
      <c r="G30" s="67"/>
      <c r="H30" s="67">
        <f>'Muestras Tintas'!G68</f>
        <v>13</v>
      </c>
      <c r="I30" s="13">
        <f>'Muestras Tintas'!H68</f>
        <v>46127</v>
      </c>
      <c r="J30" s="67">
        <f>'Muestras Tintas'!I68</f>
        <v>3.34</v>
      </c>
      <c r="K30" s="67">
        <f>'Muestras Tintas'!J68</f>
        <v>22.8</v>
      </c>
      <c r="L30" s="67">
        <f>'Muestras Tintas'!L68*0.49</f>
        <v>4.0081999999999995</v>
      </c>
      <c r="M30" s="67">
        <f>'Muestras Tintas'!M68*1.53</f>
        <v>6.1325459999999996</v>
      </c>
      <c r="N30" s="67" t="s">
        <v>267</v>
      </c>
      <c r="O30" s="68">
        <v>4</v>
      </c>
    </row>
    <row r="31" spans="1:15" x14ac:dyDescent="0.3">
      <c r="A31" s="66" t="str">
        <f>'Muestras Tintas'!A69</f>
        <v>CA26PEUC93-H267/271-14</v>
      </c>
      <c r="B31" s="67" t="str">
        <f>'Muestras Tintas'!B69</f>
        <v>Carmenere</v>
      </c>
      <c r="C31" s="67" t="str">
        <f>'Muestras Tintas'!C69</f>
        <v>Cachapoal</v>
      </c>
      <c r="D31" s="67" t="str">
        <f>'Muestras Tintas'!D69</f>
        <v>PEUMO</v>
      </c>
      <c r="E31" s="67">
        <f>'Muestras Tintas'!E69</f>
        <v>93</v>
      </c>
      <c r="F31" s="67" t="str">
        <f>'Muestras Tintas'!F69</f>
        <v>267/271</v>
      </c>
      <c r="G31" s="67"/>
      <c r="H31" s="67">
        <f>'Muestras Tintas'!G69</f>
        <v>14</v>
      </c>
      <c r="I31" s="13">
        <f>'Muestras Tintas'!H69</f>
        <v>46134</v>
      </c>
      <c r="J31" s="67">
        <f>'Muestras Tintas'!I69</f>
        <v>3.83</v>
      </c>
      <c r="K31" s="67">
        <f>'Muestras Tintas'!J69</f>
        <v>25.7</v>
      </c>
      <c r="L31" s="67">
        <f>'Muestras Tintas'!L69*0.49</f>
        <v>2.0775999999999999</v>
      </c>
      <c r="M31" s="67">
        <f>'Muestras Tintas'!M69*1.53</f>
        <v>3.178728</v>
      </c>
      <c r="N31" s="67">
        <f>'Muestras Tintas'!O69/200</f>
        <v>1.7705000000000002</v>
      </c>
      <c r="O31" s="68"/>
    </row>
    <row r="32" spans="1:15" x14ac:dyDescent="0.3">
      <c r="A32" s="69" t="str">
        <f>'Muestras Tintas'!A70</f>
        <v>CA26PEUC93-H267/271-15</v>
      </c>
      <c r="B32" s="70" t="str">
        <f>'Muestras Tintas'!B70</f>
        <v>Carmenere</v>
      </c>
      <c r="C32" s="70" t="str">
        <f>'Muestras Tintas'!C70</f>
        <v>Cachapoal</v>
      </c>
      <c r="D32" s="70" t="str">
        <f>'Muestras Tintas'!D70</f>
        <v>PEUMO</v>
      </c>
      <c r="E32" s="70">
        <f>'Muestras Tintas'!E70</f>
        <v>93</v>
      </c>
      <c r="F32" s="70" t="str">
        <f>'Muestras Tintas'!F70</f>
        <v>267/271</v>
      </c>
      <c r="G32" s="70"/>
      <c r="H32" s="70">
        <f>'Muestras Tintas'!G70</f>
        <v>15</v>
      </c>
      <c r="I32" s="40">
        <f>'Muestras Tintas'!H70</f>
        <v>46141</v>
      </c>
      <c r="J32" s="70">
        <f>'Muestras Tintas'!I70</f>
        <v>3.32</v>
      </c>
      <c r="K32" s="70">
        <f>'Muestras Tintas'!J70</f>
        <v>23.3</v>
      </c>
      <c r="L32" s="70">
        <f>'Muestras Tintas'!L70*0.49</f>
        <v>4.0033000000000003</v>
      </c>
      <c r="M32" s="70">
        <f>'Muestras Tintas'!M70*1.53</f>
        <v>6.1250490000000006</v>
      </c>
      <c r="N32" s="70">
        <f>'Muestras Tintas'!O70/200</f>
        <v>1.3505</v>
      </c>
      <c r="O32" s="7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F974-DFD4-4B16-9BB7-E506BCB1A56E}">
  <sheetPr codeName="Hoja5">
    <tabColor rgb="FFFFFF00"/>
  </sheetPr>
  <dimension ref="A2:O29"/>
  <sheetViews>
    <sheetView topLeftCell="A11" workbookViewId="0">
      <selection activeCell="O12" sqref="O12"/>
    </sheetView>
  </sheetViews>
  <sheetFormatPr baseColWidth="10" defaultColWidth="8.88671875" defaultRowHeight="14.4" x14ac:dyDescent="0.3"/>
  <cols>
    <col min="1" max="1" width="19.6640625" bestFit="1" customWidth="1"/>
    <col min="2" max="2" width="18.554687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5" x14ac:dyDescent="0.3">
      <c r="A2" s="61">
        <v>2025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2"/>
    </row>
    <row r="3" spans="1:15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5" x14ac:dyDescent="0.3">
      <c r="A4" s="33" t="s">
        <v>268</v>
      </c>
      <c r="B4" s="34" t="s">
        <v>19</v>
      </c>
      <c r="C4" s="34" t="s">
        <v>139</v>
      </c>
      <c r="D4" s="34" t="s">
        <v>151</v>
      </c>
      <c r="E4" s="34">
        <v>3</v>
      </c>
      <c r="F4" s="64" t="s">
        <v>269</v>
      </c>
      <c r="G4" s="34"/>
      <c r="H4" s="34">
        <v>1</v>
      </c>
      <c r="I4" s="35">
        <v>45694</v>
      </c>
      <c r="J4" s="34">
        <v>2.73</v>
      </c>
      <c r="K4" s="34">
        <v>17.8</v>
      </c>
      <c r="L4" s="34">
        <v>11.113200000000001</v>
      </c>
      <c r="M4" s="34">
        <v>17.0032</v>
      </c>
      <c r="N4" s="36">
        <v>1.1000000000000001</v>
      </c>
    </row>
    <row r="5" spans="1:15" x14ac:dyDescent="0.3">
      <c r="A5" s="11" t="s">
        <v>270</v>
      </c>
      <c r="B5" s="12" t="s">
        <v>19</v>
      </c>
      <c r="C5" s="12" t="s">
        <v>139</v>
      </c>
      <c r="D5" s="12" t="s">
        <v>151</v>
      </c>
      <c r="E5" s="12">
        <v>3</v>
      </c>
      <c r="F5" s="67" t="s">
        <v>269</v>
      </c>
      <c r="G5" s="12"/>
      <c r="H5" s="12">
        <v>2</v>
      </c>
      <c r="I5" s="13">
        <v>45701</v>
      </c>
      <c r="J5" s="12">
        <v>2.77</v>
      </c>
      <c r="K5" s="12">
        <v>17.8</v>
      </c>
      <c r="L5" s="12">
        <v>9.9274000000000004</v>
      </c>
      <c r="M5" s="12">
        <v>15.1889</v>
      </c>
      <c r="N5" s="14">
        <v>1.04</v>
      </c>
    </row>
    <row r="6" spans="1:15" x14ac:dyDescent="0.3">
      <c r="A6" s="11" t="s">
        <v>271</v>
      </c>
      <c r="B6" s="12" t="s">
        <v>19</v>
      </c>
      <c r="C6" s="12" t="s">
        <v>139</v>
      </c>
      <c r="D6" s="12" t="s">
        <v>151</v>
      </c>
      <c r="E6" s="12">
        <v>3</v>
      </c>
      <c r="F6" s="67" t="s">
        <v>269</v>
      </c>
      <c r="G6" s="12"/>
      <c r="H6" s="12">
        <v>3</v>
      </c>
      <c r="I6" s="13">
        <v>45708</v>
      </c>
      <c r="J6" s="12">
        <v>2.88</v>
      </c>
      <c r="K6" s="12">
        <v>19.5</v>
      </c>
      <c r="L6" s="12">
        <v>7.6929999999999996</v>
      </c>
      <c r="M6" s="12">
        <v>11.770300000000001</v>
      </c>
      <c r="N6" s="14">
        <v>1.22</v>
      </c>
    </row>
    <row r="7" spans="1:15" x14ac:dyDescent="0.3">
      <c r="A7" s="11" t="s">
        <v>272</v>
      </c>
      <c r="B7" s="12" t="s">
        <v>19</v>
      </c>
      <c r="C7" s="12" t="s">
        <v>139</v>
      </c>
      <c r="D7" s="12" t="s">
        <v>151</v>
      </c>
      <c r="E7" s="12">
        <v>3</v>
      </c>
      <c r="F7" s="67" t="s">
        <v>269</v>
      </c>
      <c r="G7" s="73">
        <v>45715</v>
      </c>
      <c r="H7" s="12">
        <v>4</v>
      </c>
      <c r="I7" s="13">
        <v>45715</v>
      </c>
      <c r="J7" s="12">
        <v>2.94</v>
      </c>
      <c r="K7" s="12">
        <v>20.9</v>
      </c>
      <c r="L7" s="12">
        <v>6.9874000000000001</v>
      </c>
      <c r="M7" s="12">
        <v>10.6907</v>
      </c>
      <c r="N7" s="14">
        <v>1.46</v>
      </c>
    </row>
    <row r="8" spans="1:15" x14ac:dyDescent="0.3">
      <c r="A8" s="11" t="s">
        <v>273</v>
      </c>
      <c r="B8" s="12" t="s">
        <v>19</v>
      </c>
      <c r="C8" s="12" t="s">
        <v>139</v>
      </c>
      <c r="D8" s="12" t="s">
        <v>151</v>
      </c>
      <c r="E8" s="12">
        <v>3</v>
      </c>
      <c r="F8" s="67" t="s">
        <v>269</v>
      </c>
      <c r="G8" s="73">
        <v>45726</v>
      </c>
      <c r="H8" s="12">
        <v>5</v>
      </c>
      <c r="I8" s="13">
        <v>45722</v>
      </c>
      <c r="J8" s="12">
        <v>3.17</v>
      </c>
      <c r="K8" s="12">
        <v>21.7</v>
      </c>
      <c r="L8" s="12">
        <v>6.0662000000000003</v>
      </c>
      <c r="M8" s="12">
        <v>9.2812999999999999</v>
      </c>
      <c r="N8" s="14">
        <v>1.53</v>
      </c>
    </row>
    <row r="9" spans="1:15" x14ac:dyDescent="0.3">
      <c r="A9" s="11" t="s">
        <v>274</v>
      </c>
      <c r="B9" s="12" t="s">
        <v>19</v>
      </c>
      <c r="C9" s="12" t="s">
        <v>139</v>
      </c>
      <c r="D9" s="12" t="s">
        <v>151</v>
      </c>
      <c r="E9" s="12">
        <v>3</v>
      </c>
      <c r="F9" s="67" t="s">
        <v>269</v>
      </c>
      <c r="G9" s="73">
        <v>45729</v>
      </c>
      <c r="H9" s="12">
        <v>6</v>
      </c>
      <c r="I9" s="13">
        <v>45729</v>
      </c>
      <c r="J9" s="12">
        <v>3.23</v>
      </c>
      <c r="K9" s="15">
        <v>23.1</v>
      </c>
      <c r="L9" s="12">
        <v>5.6398999999999999</v>
      </c>
      <c r="M9" s="12">
        <v>8.6289999999999996</v>
      </c>
      <c r="N9" s="14">
        <v>1.65</v>
      </c>
    </row>
    <row r="10" spans="1:15" x14ac:dyDescent="0.3">
      <c r="A10" s="11" t="s">
        <v>275</v>
      </c>
      <c r="B10" s="12" t="s">
        <v>19</v>
      </c>
      <c r="C10" s="12" t="s">
        <v>139</v>
      </c>
      <c r="D10" s="12" t="s">
        <v>151</v>
      </c>
      <c r="E10" s="12">
        <v>3</v>
      </c>
      <c r="F10" s="67" t="s">
        <v>269</v>
      </c>
      <c r="G10" s="73">
        <v>45735</v>
      </c>
      <c r="H10" s="12">
        <v>7</v>
      </c>
      <c r="I10" s="13">
        <v>45735</v>
      </c>
      <c r="J10" s="12">
        <v>3.31</v>
      </c>
      <c r="K10" s="15">
        <v>23.4</v>
      </c>
      <c r="L10" s="12">
        <v>5.1547999999999998</v>
      </c>
      <c r="M10" s="12">
        <v>7.8868</v>
      </c>
      <c r="N10" s="14">
        <v>1.62</v>
      </c>
    </row>
    <row r="11" spans="1:15" x14ac:dyDescent="0.3">
      <c r="A11" s="11" t="s">
        <v>276</v>
      </c>
      <c r="B11" s="12" t="s">
        <v>19</v>
      </c>
      <c r="C11" s="12" t="s">
        <v>139</v>
      </c>
      <c r="D11" s="12" t="s">
        <v>151</v>
      </c>
      <c r="E11" s="12">
        <v>3</v>
      </c>
      <c r="F11" s="67" t="s">
        <v>269</v>
      </c>
      <c r="G11" s="73">
        <v>45742</v>
      </c>
      <c r="H11" s="12">
        <v>8</v>
      </c>
      <c r="I11" s="13">
        <v>45742</v>
      </c>
      <c r="J11" s="12">
        <v>3.33</v>
      </c>
      <c r="K11" s="15">
        <v>24</v>
      </c>
      <c r="L11" s="12">
        <v>4.7285000000000004</v>
      </c>
      <c r="M11" s="12">
        <v>7.2346000000000004</v>
      </c>
      <c r="N11" s="14">
        <v>1.58</v>
      </c>
    </row>
    <row r="12" spans="1:15" x14ac:dyDescent="0.3">
      <c r="A12" s="11" t="s">
        <v>277</v>
      </c>
      <c r="B12" s="12" t="s">
        <v>19</v>
      </c>
      <c r="C12" s="12" t="s">
        <v>139</v>
      </c>
      <c r="D12" s="12" t="s">
        <v>151</v>
      </c>
      <c r="E12" s="12">
        <v>3</v>
      </c>
      <c r="F12" s="67" t="s">
        <v>269</v>
      </c>
      <c r="G12" s="73">
        <v>45749</v>
      </c>
      <c r="H12" s="12">
        <v>9</v>
      </c>
      <c r="I12" s="13">
        <v>45749</v>
      </c>
      <c r="J12" s="12">
        <v>3.35</v>
      </c>
      <c r="K12" s="15">
        <v>24.9</v>
      </c>
      <c r="L12" s="12">
        <v>4.6990999999999996</v>
      </c>
      <c r="M12" s="12">
        <v>7.1896000000000004</v>
      </c>
      <c r="N12" s="14">
        <v>1.55</v>
      </c>
    </row>
    <row r="13" spans="1:15" x14ac:dyDescent="0.3">
      <c r="A13" s="18" t="s">
        <v>278</v>
      </c>
      <c r="B13" s="19" t="s">
        <v>19</v>
      </c>
      <c r="C13" s="19" t="s">
        <v>139</v>
      </c>
      <c r="D13" s="19" t="s">
        <v>151</v>
      </c>
      <c r="E13" s="19">
        <v>3</v>
      </c>
      <c r="F13" s="70" t="s">
        <v>269</v>
      </c>
      <c r="G13" s="74">
        <v>45757</v>
      </c>
      <c r="H13" s="19">
        <v>10</v>
      </c>
      <c r="I13" s="40">
        <v>45757</v>
      </c>
      <c r="J13" s="19">
        <v>3.29</v>
      </c>
      <c r="K13" s="21">
        <v>24.9</v>
      </c>
      <c r="L13" s="19">
        <v>4.6402999999999999</v>
      </c>
      <c r="M13" s="19">
        <v>7.0997000000000003</v>
      </c>
      <c r="N13" s="22">
        <v>1.59</v>
      </c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5" x14ac:dyDescent="0.3">
      <c r="A15" s="61">
        <v>2026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2"/>
    </row>
    <row r="16" spans="1:15" x14ac:dyDescent="0.3">
      <c r="A16" s="37" t="s">
        <v>0</v>
      </c>
      <c r="B16" s="26" t="s">
        <v>1</v>
      </c>
      <c r="C16" s="26" t="s">
        <v>225</v>
      </c>
      <c r="D16" s="26" t="s">
        <v>3</v>
      </c>
      <c r="E16" s="26" t="s">
        <v>4</v>
      </c>
      <c r="F16" s="26" t="s">
        <v>5</v>
      </c>
      <c r="G16" s="26" t="s">
        <v>226</v>
      </c>
      <c r="H16" s="26" t="s">
        <v>227</v>
      </c>
      <c r="I16" s="26" t="s">
        <v>228</v>
      </c>
      <c r="J16" s="26" t="s">
        <v>8</v>
      </c>
      <c r="K16" s="38" t="s">
        <v>9</v>
      </c>
      <c r="L16" s="26" t="s">
        <v>12</v>
      </c>
      <c r="M16" s="7" t="s">
        <v>13</v>
      </c>
      <c r="N16" s="39" t="s">
        <v>16</v>
      </c>
      <c r="O16" s="39" t="s">
        <v>241</v>
      </c>
    </row>
    <row r="17" spans="1:15" x14ac:dyDescent="0.3">
      <c r="A17" s="63" t="str">
        <f>'Muestras Tintas'!A96</f>
        <v>CS26KEUC3-H1/6-1</v>
      </c>
      <c r="B17" s="64" t="str">
        <f>'Muestras Tintas'!B96</f>
        <v>Cabernet Sauvignon</v>
      </c>
      <c r="C17" s="64" t="str">
        <f>'Muestras Tintas'!C96</f>
        <v>Maule</v>
      </c>
      <c r="D17" s="64" t="str">
        <f>'Muestras Tintas'!D96</f>
        <v>KEULE</v>
      </c>
      <c r="E17" s="64">
        <f>'Muestras Tintas'!E96</f>
        <v>3</v>
      </c>
      <c r="F17" s="64" t="str">
        <f>'Muestras Tintas'!F96</f>
        <v>1/6</v>
      </c>
      <c r="G17" s="64"/>
      <c r="H17" s="64" t="str">
        <f>'Muestras Tintas'!G96</f>
        <v>1</v>
      </c>
      <c r="I17" s="35">
        <f>'Muestras Tintas'!H96</f>
        <v>46044</v>
      </c>
      <c r="J17" s="64">
        <f>'Muestras Tintas'!I96</f>
        <v>2.84</v>
      </c>
      <c r="K17" s="64">
        <f>'Muestras Tintas'!J96</f>
        <v>15.2</v>
      </c>
      <c r="L17" s="64">
        <f>'Muestras Tintas'!L96*0.49</f>
        <v>14.4354</v>
      </c>
      <c r="M17" s="64">
        <f>'Muestras Tintas'!M96*1.53</f>
        <v>22.086161999999998</v>
      </c>
      <c r="N17" s="64">
        <f>'Muestras Tintas'!O96/200</f>
        <v>1.0749</v>
      </c>
      <c r="O17" s="100"/>
    </row>
    <row r="18" spans="1:15" x14ac:dyDescent="0.3">
      <c r="A18" s="66" t="str">
        <f>'Muestras Tintas'!A97</f>
        <v>CS26KEUC3-H1/6-2</v>
      </c>
      <c r="B18" s="67" t="str">
        <f>'Muestras Tintas'!B97</f>
        <v>Cabernet Sauvignon</v>
      </c>
      <c r="C18" s="67" t="str">
        <f>'Muestras Tintas'!C97</f>
        <v>Maule</v>
      </c>
      <c r="D18" s="67" t="str">
        <f>'Muestras Tintas'!D97</f>
        <v>KEULE</v>
      </c>
      <c r="E18" s="67">
        <f>'Muestras Tintas'!E97</f>
        <v>3</v>
      </c>
      <c r="F18" s="67" t="str">
        <f>'Muestras Tintas'!F97</f>
        <v>1/6</v>
      </c>
      <c r="G18" s="67"/>
      <c r="H18" s="67" t="str">
        <f>'Muestras Tintas'!G97</f>
        <v>2</v>
      </c>
      <c r="I18" s="13">
        <f>'Muestras Tintas'!H97</f>
        <v>46051</v>
      </c>
      <c r="J18" s="67">
        <f>'Muestras Tintas'!I97</f>
        <v>2.87</v>
      </c>
      <c r="K18" s="67">
        <f>'Muestras Tintas'!J97</f>
        <v>16</v>
      </c>
      <c r="L18" s="67">
        <f>'Muestras Tintas'!L97*0.49</f>
        <v>11.857999999999999</v>
      </c>
      <c r="M18" s="67">
        <f>'Muestras Tintas'!M97*1.53</f>
        <v>18.14274</v>
      </c>
      <c r="N18" s="67">
        <f>'Muestras Tintas'!O97/200</f>
        <v>1.1688499999999999</v>
      </c>
      <c r="O18" s="101"/>
    </row>
    <row r="19" spans="1:15" x14ac:dyDescent="0.3">
      <c r="A19" s="66" t="str">
        <f>'Muestras Tintas'!A98</f>
        <v>CS26KEUC3-H1/6-3</v>
      </c>
      <c r="B19" s="67" t="str">
        <f>'Muestras Tintas'!B98</f>
        <v>Cabernet Sauvignon</v>
      </c>
      <c r="C19" s="67" t="str">
        <f>'Muestras Tintas'!C98</f>
        <v>Maule</v>
      </c>
      <c r="D19" s="67" t="str">
        <f>'Muestras Tintas'!D98</f>
        <v>KEULE</v>
      </c>
      <c r="E19" s="67">
        <f>'Muestras Tintas'!E98</f>
        <v>3</v>
      </c>
      <c r="F19" s="67" t="str">
        <f>'Muestras Tintas'!F98</f>
        <v>1/6</v>
      </c>
      <c r="G19" s="67"/>
      <c r="H19" s="67" t="str">
        <f>'Muestras Tintas'!G98</f>
        <v>3</v>
      </c>
      <c r="I19" s="13">
        <f>'Muestras Tintas'!H98</f>
        <v>46057</v>
      </c>
      <c r="J19" s="67">
        <f>'Muestras Tintas'!I98</f>
        <v>2.97</v>
      </c>
      <c r="K19" s="67">
        <f>'Muestras Tintas'!J98</f>
        <v>17.2</v>
      </c>
      <c r="L19" s="67">
        <f>'Muestras Tintas'!L98*0.49</f>
        <v>9.8490000000000002</v>
      </c>
      <c r="M19" s="67">
        <f>'Muestras Tintas'!M98*1.53</f>
        <v>15.06897</v>
      </c>
      <c r="N19" s="67">
        <f>'Muestras Tintas'!O98/200</f>
        <v>1.2685</v>
      </c>
      <c r="O19" s="101"/>
    </row>
    <row r="20" spans="1:15" x14ac:dyDescent="0.3">
      <c r="A20" s="66" t="str">
        <f>'Muestras Tintas'!A99</f>
        <v>CS26KEUC3-H1/6-4</v>
      </c>
      <c r="B20" s="67" t="str">
        <f>'Muestras Tintas'!B99</f>
        <v>Cabernet Sauvignon</v>
      </c>
      <c r="C20" s="67" t="str">
        <f>'Muestras Tintas'!C99</f>
        <v>Maule</v>
      </c>
      <c r="D20" s="67" t="str">
        <f>'Muestras Tintas'!D99</f>
        <v>KEULE</v>
      </c>
      <c r="E20" s="67">
        <f>'Muestras Tintas'!E99</f>
        <v>3</v>
      </c>
      <c r="F20" s="67" t="str">
        <f>'Muestras Tintas'!F99</f>
        <v>1/6</v>
      </c>
      <c r="G20" s="67"/>
      <c r="H20" s="67" t="str">
        <f>'Muestras Tintas'!G99</f>
        <v>4</v>
      </c>
      <c r="I20" s="13">
        <f>'Muestras Tintas'!H99</f>
        <v>46064</v>
      </c>
      <c r="J20" s="67">
        <f>'Muestras Tintas'!I99</f>
        <v>3.03</v>
      </c>
      <c r="K20" s="67">
        <f>'Muestras Tintas'!J99</f>
        <v>18.7</v>
      </c>
      <c r="L20" s="67">
        <f>'Muestras Tintas'!L99*0.49</f>
        <v>8.5945999999999998</v>
      </c>
      <c r="M20" s="67">
        <f>'Muestras Tintas'!M99*1.53</f>
        <v>13.149737999999999</v>
      </c>
      <c r="N20" s="67">
        <f>'Muestras Tintas'!O99/200</f>
        <v>1.2415</v>
      </c>
      <c r="O20" s="101"/>
    </row>
    <row r="21" spans="1:15" x14ac:dyDescent="0.3">
      <c r="A21" s="66" t="str">
        <f>'Muestras Tintas'!A100</f>
        <v>CS26KEUC3-H1/6-5</v>
      </c>
      <c r="B21" s="67" t="str">
        <f>'Muestras Tintas'!B100</f>
        <v>Cabernet Sauvignon</v>
      </c>
      <c r="C21" s="67" t="str">
        <f>'Muestras Tintas'!C100</f>
        <v>Maule</v>
      </c>
      <c r="D21" s="67" t="str">
        <f>'Muestras Tintas'!D100</f>
        <v>KEULE</v>
      </c>
      <c r="E21" s="67">
        <f>'Muestras Tintas'!E100</f>
        <v>3</v>
      </c>
      <c r="F21" s="67" t="str">
        <f>'Muestras Tintas'!F100</f>
        <v>1/6</v>
      </c>
      <c r="G21" s="67"/>
      <c r="H21" s="67" t="str">
        <f>'Muestras Tintas'!G100</f>
        <v>5</v>
      </c>
      <c r="I21" s="13">
        <f>'Muestras Tintas'!H100</f>
        <v>46072</v>
      </c>
      <c r="J21" s="67">
        <f>'Muestras Tintas'!I100</f>
        <v>3.11</v>
      </c>
      <c r="K21" s="67">
        <f>'Muestras Tintas'!J100</f>
        <v>21.1</v>
      </c>
      <c r="L21" s="67">
        <f>'Muestras Tintas'!L100*0.49</f>
        <v>6.6444000000000001</v>
      </c>
      <c r="M21" s="67">
        <f>'Muestras Tintas'!M100*1.53</f>
        <v>10.165932</v>
      </c>
      <c r="N21" s="67">
        <f>'Muestras Tintas'!O100/200</f>
        <v>1.548</v>
      </c>
      <c r="O21" s="101"/>
    </row>
    <row r="22" spans="1:15" x14ac:dyDescent="0.3">
      <c r="A22" s="66" t="str">
        <f>'Muestras Tintas'!A101</f>
        <v>CS26KEUC3-H1/6-6</v>
      </c>
      <c r="B22" s="67" t="str">
        <f>'Muestras Tintas'!B101</f>
        <v>Cabernet Sauvignon</v>
      </c>
      <c r="C22" s="67" t="str">
        <f>'Muestras Tintas'!C101</f>
        <v>Maule</v>
      </c>
      <c r="D22" s="67" t="str">
        <f>'Muestras Tintas'!D101</f>
        <v>KEULE</v>
      </c>
      <c r="E22" s="67">
        <f>'Muestras Tintas'!E101</f>
        <v>3</v>
      </c>
      <c r="F22" s="67" t="str">
        <f>'Muestras Tintas'!F101</f>
        <v>1/6</v>
      </c>
      <c r="G22" s="67"/>
      <c r="H22" s="67" t="str">
        <f>'Muestras Tintas'!G101</f>
        <v>6</v>
      </c>
      <c r="I22" s="13">
        <f>'Muestras Tintas'!H101</f>
        <v>46078</v>
      </c>
      <c r="J22" s="67">
        <f>'Muestras Tintas'!I101</f>
        <v>3.09</v>
      </c>
      <c r="K22" s="67">
        <f>'Muestras Tintas'!J101</f>
        <v>22.5</v>
      </c>
      <c r="L22" s="67">
        <f>'Muestras Tintas'!L101*0.49</f>
        <v>6.0857999999999999</v>
      </c>
      <c r="M22" s="67">
        <f>'Muestras Tintas'!M101*1.53</f>
        <v>9.3112739999999992</v>
      </c>
      <c r="N22" s="67">
        <f>'Muestras Tintas'!O101/200</f>
        <v>1.2919999999999998</v>
      </c>
      <c r="O22" s="101"/>
    </row>
    <row r="23" spans="1:15" x14ac:dyDescent="0.3">
      <c r="A23" s="66" t="str">
        <f>'Muestras Tintas'!A102</f>
        <v>CS26KEUC3-H1/6-7</v>
      </c>
      <c r="B23" s="67" t="str">
        <f>'Muestras Tintas'!B102</f>
        <v>Cabernet Sauvignon</v>
      </c>
      <c r="C23" s="67" t="str">
        <f>'Muestras Tintas'!C102</f>
        <v>Maule</v>
      </c>
      <c r="D23" s="67" t="str">
        <f>'Muestras Tintas'!D102</f>
        <v>KEULE</v>
      </c>
      <c r="E23" s="67">
        <f>'Muestras Tintas'!E102</f>
        <v>3</v>
      </c>
      <c r="F23" s="67" t="str">
        <f>'Muestras Tintas'!F102</f>
        <v>1/6</v>
      </c>
      <c r="G23" s="67"/>
      <c r="H23" s="67" t="str">
        <f>'Muestras Tintas'!G102</f>
        <v>7</v>
      </c>
      <c r="I23" s="13">
        <f>'Muestras Tintas'!H102</f>
        <v>46087</v>
      </c>
      <c r="J23" s="67">
        <f>'Muestras Tintas'!I102</f>
        <v>3.15</v>
      </c>
      <c r="K23" s="67">
        <f>'Muestras Tintas'!J102</f>
        <v>22.8</v>
      </c>
      <c r="L23" s="67">
        <f>'Muestras Tintas'!L102*0.49</f>
        <v>6.0564</v>
      </c>
      <c r="M23" s="67">
        <f>'Muestras Tintas'!M102*1.53</f>
        <v>9.266292</v>
      </c>
      <c r="N23" s="67">
        <f>'Muestras Tintas'!O102/200</f>
        <v>1.5155000000000001</v>
      </c>
      <c r="O23" s="101">
        <v>1</v>
      </c>
    </row>
    <row r="24" spans="1:15" x14ac:dyDescent="0.3">
      <c r="A24" s="66" t="str">
        <f>'Muestras Tintas'!A103</f>
        <v>CS26KEUC3-H1/6-8</v>
      </c>
      <c r="B24" s="67" t="str">
        <f>'Muestras Tintas'!B103</f>
        <v>Cabernet Sauvignon</v>
      </c>
      <c r="C24" s="67" t="str">
        <f>'Muestras Tintas'!C103</f>
        <v>Maule</v>
      </c>
      <c r="D24" s="67" t="str">
        <f>'Muestras Tintas'!D103</f>
        <v>KEULE</v>
      </c>
      <c r="E24" s="67">
        <f>'Muestras Tintas'!E103</f>
        <v>3</v>
      </c>
      <c r="F24" s="67" t="str">
        <f>'Muestras Tintas'!F103</f>
        <v>1/6</v>
      </c>
      <c r="G24" s="67"/>
      <c r="H24" s="67" t="str">
        <f>'Muestras Tintas'!G103</f>
        <v>8</v>
      </c>
      <c r="I24" s="13">
        <f>'Muestras Tintas'!H103</f>
        <v>46092</v>
      </c>
      <c r="J24" s="67">
        <f>'Muestras Tintas'!I103</f>
        <v>3.21</v>
      </c>
      <c r="K24" s="67">
        <f>'Muestras Tintas'!J103</f>
        <v>23.5</v>
      </c>
      <c r="L24" s="67">
        <f>'Muestras Tintas'!L103*0.49</f>
        <v>6.0024999999999995</v>
      </c>
      <c r="M24" s="67">
        <f>'Muestras Tintas'!M103*1.53</f>
        <v>9.1838249999999988</v>
      </c>
      <c r="N24" s="67">
        <f>'Muestras Tintas'!O103/200</f>
        <v>1.3069999999999999</v>
      </c>
      <c r="O24" s="101"/>
    </row>
    <row r="25" spans="1:15" x14ac:dyDescent="0.3">
      <c r="A25" s="66" t="str">
        <f>'Muestras Tintas'!A104</f>
        <v>CS26KEUC3-H1/6-9</v>
      </c>
      <c r="B25" s="67" t="str">
        <f>'Muestras Tintas'!B104</f>
        <v>Cabernet Sauvignon</v>
      </c>
      <c r="C25" s="67" t="str">
        <f>'Muestras Tintas'!C104</f>
        <v>Maule</v>
      </c>
      <c r="D25" s="67" t="str">
        <f>'Muestras Tintas'!D104</f>
        <v>KEULE</v>
      </c>
      <c r="E25" s="67">
        <f>'Muestras Tintas'!E104</f>
        <v>3</v>
      </c>
      <c r="F25" s="67" t="str">
        <f>'Muestras Tintas'!F104</f>
        <v>1/6</v>
      </c>
      <c r="G25" s="67"/>
      <c r="H25" s="67" t="str">
        <f>'Muestras Tintas'!G104</f>
        <v>9</v>
      </c>
      <c r="I25" s="13">
        <f>'Muestras Tintas'!H104</f>
        <v>46100</v>
      </c>
      <c r="J25" s="67">
        <f>'Muestras Tintas'!I104</f>
        <v>3.21</v>
      </c>
      <c r="K25" s="67">
        <f>'Muestras Tintas'!J104</f>
        <v>24.4</v>
      </c>
      <c r="L25" s="67">
        <f>'Muestras Tintas'!L104*0.49</f>
        <v>4.7774999999999999</v>
      </c>
      <c r="M25" s="67">
        <f>'Muestras Tintas'!M104*1.53</f>
        <v>7.3095749999999997</v>
      </c>
      <c r="N25" s="67">
        <f>'Muestras Tintas'!O104/200</f>
        <v>1.3455000000000001</v>
      </c>
      <c r="O25" s="101">
        <v>2</v>
      </c>
    </row>
    <row r="26" spans="1:15" x14ac:dyDescent="0.3">
      <c r="A26" s="66" t="str">
        <f>'Muestras Tintas'!A105</f>
        <v>CS26KEUC3-H1/6-10</v>
      </c>
      <c r="B26" s="67" t="str">
        <f>'Muestras Tintas'!B105</f>
        <v>Cabernet Sauvignon</v>
      </c>
      <c r="C26" s="67" t="str">
        <f>'Muestras Tintas'!C105</f>
        <v>Maule</v>
      </c>
      <c r="D26" s="67" t="str">
        <f>'Muestras Tintas'!D105</f>
        <v>KEULE</v>
      </c>
      <c r="E26" s="67">
        <f>'Muestras Tintas'!E105</f>
        <v>3</v>
      </c>
      <c r="F26" s="67" t="str">
        <f>'Muestras Tintas'!F105</f>
        <v>1/6</v>
      </c>
      <c r="G26" s="67"/>
      <c r="H26" s="67">
        <f>'Muestras Tintas'!G105</f>
        <v>10</v>
      </c>
      <c r="I26" s="13">
        <f>'Muestras Tintas'!H105</f>
        <v>46108</v>
      </c>
      <c r="J26" s="67">
        <f>'Muestras Tintas'!I105</f>
        <v>3.64</v>
      </c>
      <c r="K26" s="67">
        <f>'Muestras Tintas'!J105</f>
        <v>25.4</v>
      </c>
      <c r="L26" s="67">
        <f>'Muestras Tintas'!L105*0.49</f>
        <v>2.5431000000000004</v>
      </c>
      <c r="M26" s="67">
        <f>'Muestras Tintas'!M105*1.53</f>
        <v>3.8909430000000005</v>
      </c>
      <c r="N26" s="67">
        <f>'Muestras Tintas'!O105/200</f>
        <v>1.6365000000000001</v>
      </c>
      <c r="O26" s="101"/>
    </row>
    <row r="27" spans="1:15" x14ac:dyDescent="0.3">
      <c r="A27" s="66" t="str">
        <f>'Muestras Tintas'!A106</f>
        <v>CS26KEUC3-H1/6-11</v>
      </c>
      <c r="B27" s="67" t="str">
        <f>'Muestras Tintas'!B106</f>
        <v>Cabernet Sauvignon</v>
      </c>
      <c r="C27" s="67" t="str">
        <f>'Muestras Tintas'!C106</f>
        <v>Maule</v>
      </c>
      <c r="D27" s="67" t="str">
        <f>'Muestras Tintas'!D106</f>
        <v>KEULE</v>
      </c>
      <c r="E27" s="67">
        <f>'Muestras Tintas'!E106</f>
        <v>3</v>
      </c>
      <c r="F27" s="67" t="str">
        <f>'Muestras Tintas'!F106</f>
        <v>1/6</v>
      </c>
      <c r="G27" s="67"/>
      <c r="H27" s="67">
        <f>'Muestras Tintas'!G106</f>
        <v>11</v>
      </c>
      <c r="I27" s="13">
        <f>'Muestras Tintas'!H106</f>
        <v>46113</v>
      </c>
      <c r="J27" s="67">
        <f>'Muestras Tintas'!I106</f>
        <v>3.16</v>
      </c>
      <c r="K27" s="67">
        <f>'Muestras Tintas'!J106</f>
        <v>24.8</v>
      </c>
      <c r="L27" s="67">
        <f>'Muestras Tintas'!L106*0.49</f>
        <v>4.2531999999999996</v>
      </c>
      <c r="M27" s="67">
        <f>'Muestras Tintas'!M106*1.53</f>
        <v>6.507396</v>
      </c>
      <c r="N27" s="67">
        <f>'Muestras Tintas'!O106/200</f>
        <v>1.2670000000000001</v>
      </c>
      <c r="O27" s="101"/>
    </row>
    <row r="28" spans="1:15" x14ac:dyDescent="0.3">
      <c r="A28" s="66" t="str">
        <f>'Muestras Tintas'!A107</f>
        <v>CS26KEUC3-H1/6-12</v>
      </c>
      <c r="B28" s="67" t="str">
        <f>'Muestras Tintas'!B107</f>
        <v>Cabernet Sauvignon</v>
      </c>
      <c r="C28" s="67" t="str">
        <f>'Muestras Tintas'!C107</f>
        <v>Maule</v>
      </c>
      <c r="D28" s="67" t="str">
        <f>'Muestras Tintas'!D107</f>
        <v>KEULE</v>
      </c>
      <c r="E28" s="67">
        <f>'Muestras Tintas'!E107</f>
        <v>3</v>
      </c>
      <c r="F28" s="67" t="str">
        <f>'Muestras Tintas'!F107</f>
        <v>1/6</v>
      </c>
      <c r="G28" s="67"/>
      <c r="H28" s="67">
        <f>'Muestras Tintas'!G107</f>
        <v>12</v>
      </c>
      <c r="I28" s="13">
        <f>'Muestras Tintas'!H107</f>
        <v>46120</v>
      </c>
      <c r="J28" s="67">
        <f>'Muestras Tintas'!I107</f>
        <v>3.26</v>
      </c>
      <c r="K28" s="67">
        <f>'Muestras Tintas'!J107</f>
        <v>25.6</v>
      </c>
      <c r="L28" s="67">
        <f>'Muestras Tintas'!L107*0.49</f>
        <v>4.1699000000000002</v>
      </c>
      <c r="M28" s="67">
        <f>'Muestras Tintas'!M107*1.53</f>
        <v>6.3799470000000005</v>
      </c>
      <c r="N28" s="67">
        <f>'Muestras Tintas'!O107/200</f>
        <v>1.4990000000000001</v>
      </c>
      <c r="O28" s="101"/>
    </row>
    <row r="29" spans="1:15" x14ac:dyDescent="0.3">
      <c r="A29" s="69" t="str">
        <f>'Muestras Tintas'!A108</f>
        <v>CS26KEUC3-H1/6-13</v>
      </c>
      <c r="B29" s="70" t="str">
        <f>'Muestras Tintas'!B108</f>
        <v>Cabernet Sauvignon</v>
      </c>
      <c r="C29" s="70" t="str">
        <f>'Muestras Tintas'!C108</f>
        <v>Maule</v>
      </c>
      <c r="D29" s="70" t="str">
        <f>'Muestras Tintas'!D108</f>
        <v>KEULE</v>
      </c>
      <c r="E29" s="70">
        <f>'Muestras Tintas'!E108</f>
        <v>3</v>
      </c>
      <c r="F29" s="70" t="str">
        <f>'Muestras Tintas'!F108</f>
        <v>1/6</v>
      </c>
      <c r="G29" s="70"/>
      <c r="H29" s="70">
        <f>'Muestras Tintas'!G108</f>
        <v>13</v>
      </c>
      <c r="I29" s="40">
        <f>'Muestras Tintas'!H108</f>
        <v>46128</v>
      </c>
      <c r="J29" s="70">
        <f>'Muestras Tintas'!I108</f>
        <v>3.34</v>
      </c>
      <c r="K29" s="70">
        <f>'Muestras Tintas'!J108</f>
        <v>26.6</v>
      </c>
      <c r="L29" s="70">
        <f>'Muestras Tintas'!L108*0.49</f>
        <v>4.1159999999999997</v>
      </c>
      <c r="M29" s="70">
        <f>'Muestras Tintas'!M108*1.53</f>
        <v>6.2974799999999993</v>
      </c>
      <c r="N29" s="70">
        <f>'Muestras Tintas'!O108/200</f>
        <v>1.39</v>
      </c>
      <c r="O29" s="10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D59E-A7B8-496F-93ED-5AF4BB1BFAC8}">
  <sheetPr codeName="Hoja6">
    <tabColor rgb="FFFFFF00"/>
  </sheetPr>
  <dimension ref="A2:O25"/>
  <sheetViews>
    <sheetView topLeftCell="A8" workbookViewId="0">
      <selection activeCell="O9" sqref="O9"/>
    </sheetView>
  </sheetViews>
  <sheetFormatPr baseColWidth="10" defaultColWidth="8.88671875" defaultRowHeight="14.4" x14ac:dyDescent="0.3"/>
  <cols>
    <col min="1" max="1" width="20.5546875" bestFit="1" customWidth="1"/>
    <col min="2" max="2" width="10.6640625" bestFit="1" customWidth="1"/>
    <col min="3" max="4" width="13.33203125" bestFit="1" customWidth="1"/>
    <col min="5" max="5" width="9.33203125" bestFit="1" customWidth="1"/>
    <col min="6" max="7" width="17" bestFit="1" customWidth="1"/>
    <col min="8" max="9" width="11.109375" bestFit="1" customWidth="1"/>
    <col min="11" max="11" width="15.5546875" bestFit="1" customWidth="1"/>
    <col min="12" max="13" width="15.33203125" bestFit="1" customWidth="1"/>
    <col min="14" max="14" width="10.44140625" bestFit="1" customWidth="1"/>
  </cols>
  <sheetData>
    <row r="2" spans="1:15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5" x14ac:dyDescent="0.3">
      <c r="A4" s="33" t="s">
        <v>279</v>
      </c>
      <c r="B4" s="34" t="s">
        <v>51</v>
      </c>
      <c r="C4" s="24" t="str">
        <f>'Muestras Tintas'!C96</f>
        <v>Maule</v>
      </c>
      <c r="D4" s="34" t="s">
        <v>166</v>
      </c>
      <c r="E4" s="34">
        <v>13</v>
      </c>
      <c r="F4" s="24" t="s">
        <v>280</v>
      </c>
      <c r="G4" s="34"/>
      <c r="H4" s="34">
        <v>1</v>
      </c>
      <c r="I4" s="35">
        <v>45708</v>
      </c>
      <c r="J4" s="34">
        <v>3.19</v>
      </c>
      <c r="K4" s="34">
        <v>21.7</v>
      </c>
      <c r="L4" s="34">
        <v>3.3908</v>
      </c>
      <c r="M4" s="34">
        <v>5.1879</v>
      </c>
      <c r="N4" s="36">
        <v>1.81</v>
      </c>
    </row>
    <row r="5" spans="1:15" x14ac:dyDescent="0.3">
      <c r="A5" s="11" t="s">
        <v>281</v>
      </c>
      <c r="B5" s="12" t="s">
        <v>51</v>
      </c>
      <c r="C5" s="1" t="str">
        <f>'Muestras Tintas'!C97</f>
        <v>Maule</v>
      </c>
      <c r="D5" s="12" t="s">
        <v>166</v>
      </c>
      <c r="E5" s="12">
        <v>13</v>
      </c>
      <c r="F5" s="1" t="s">
        <v>280</v>
      </c>
      <c r="G5" s="73">
        <v>45715</v>
      </c>
      <c r="H5" s="12">
        <v>2</v>
      </c>
      <c r="I5" s="13">
        <v>45715</v>
      </c>
      <c r="J5" s="12">
        <v>3.2</v>
      </c>
      <c r="K5" s="15">
        <v>23</v>
      </c>
      <c r="L5" s="12">
        <v>3.5084</v>
      </c>
      <c r="M5" s="12">
        <v>5.3678999999999997</v>
      </c>
      <c r="N5" s="14">
        <v>1.88</v>
      </c>
    </row>
    <row r="6" spans="1:15" x14ac:dyDescent="0.3">
      <c r="A6" s="11" t="s">
        <v>282</v>
      </c>
      <c r="B6" s="12" t="s">
        <v>51</v>
      </c>
      <c r="C6" s="1" t="str">
        <f>'Muestras Tintas'!C98</f>
        <v>Maule</v>
      </c>
      <c r="D6" s="12" t="s">
        <v>166</v>
      </c>
      <c r="E6" s="12">
        <v>13</v>
      </c>
      <c r="F6" s="1" t="s">
        <v>280</v>
      </c>
      <c r="G6" s="73">
        <v>45726</v>
      </c>
      <c r="H6" s="12">
        <v>3</v>
      </c>
      <c r="I6" s="17">
        <v>45722</v>
      </c>
      <c r="J6" s="12">
        <v>3.43</v>
      </c>
      <c r="K6" s="15">
        <v>23.9</v>
      </c>
      <c r="L6" s="12">
        <v>2.7930000000000001</v>
      </c>
      <c r="M6" s="12">
        <v>4.2732999999999999</v>
      </c>
      <c r="N6" s="14">
        <v>2.23</v>
      </c>
    </row>
    <row r="7" spans="1:15" x14ac:dyDescent="0.3">
      <c r="A7" s="11" t="s">
        <v>283</v>
      </c>
      <c r="B7" s="12" t="s">
        <v>51</v>
      </c>
      <c r="C7" s="1" t="str">
        <f>'Muestras Tintas'!C99</f>
        <v>Maule</v>
      </c>
      <c r="D7" s="12" t="s">
        <v>166</v>
      </c>
      <c r="E7" s="12">
        <v>13</v>
      </c>
      <c r="F7" s="1" t="s">
        <v>280</v>
      </c>
      <c r="G7" s="73">
        <v>45729</v>
      </c>
      <c r="H7" s="12">
        <v>4</v>
      </c>
      <c r="I7" s="17">
        <v>45729</v>
      </c>
      <c r="J7" s="12">
        <v>3.5</v>
      </c>
      <c r="K7" s="15">
        <v>25.1</v>
      </c>
      <c r="L7" s="12">
        <v>2.7145999999999999</v>
      </c>
      <c r="M7" s="12">
        <v>4.1532999999999998</v>
      </c>
      <c r="N7" s="14">
        <v>2.2599999999999998</v>
      </c>
    </row>
    <row r="8" spans="1:15" x14ac:dyDescent="0.3">
      <c r="A8" s="11" t="s">
        <v>284</v>
      </c>
      <c r="B8" s="12" t="s">
        <v>51</v>
      </c>
      <c r="C8" s="1" t="str">
        <f>'Muestras Tintas'!C100</f>
        <v>Maule</v>
      </c>
      <c r="D8" s="12" t="s">
        <v>166</v>
      </c>
      <c r="E8" s="12">
        <v>13</v>
      </c>
      <c r="F8" s="1" t="s">
        <v>280</v>
      </c>
      <c r="G8" s="73">
        <v>45736</v>
      </c>
      <c r="H8" s="12">
        <v>5</v>
      </c>
      <c r="I8" s="17">
        <v>45736</v>
      </c>
      <c r="J8" s="12">
        <v>3.62</v>
      </c>
      <c r="K8" s="15">
        <v>25.6</v>
      </c>
      <c r="L8" s="12">
        <v>2.6705000000000001</v>
      </c>
      <c r="M8" s="12">
        <v>4.0858999999999996</v>
      </c>
      <c r="N8" s="14">
        <v>2.23</v>
      </c>
    </row>
    <row r="9" spans="1:15" x14ac:dyDescent="0.3">
      <c r="A9" s="11" t="s">
        <v>285</v>
      </c>
      <c r="B9" s="12" t="s">
        <v>51</v>
      </c>
      <c r="C9" s="1" t="str">
        <f>'Muestras Tintas'!C101</f>
        <v>Maule</v>
      </c>
      <c r="D9" s="12" t="s">
        <v>166</v>
      </c>
      <c r="E9" s="12">
        <v>13</v>
      </c>
      <c r="F9" s="1" t="s">
        <v>280</v>
      </c>
      <c r="G9" s="73">
        <v>45743</v>
      </c>
      <c r="H9" s="12">
        <v>6</v>
      </c>
      <c r="I9" s="17">
        <v>45743</v>
      </c>
      <c r="J9" s="12">
        <v>3.63</v>
      </c>
      <c r="K9" s="15">
        <v>26.2</v>
      </c>
      <c r="L9" s="12">
        <v>2.3912</v>
      </c>
      <c r="M9" s="12">
        <v>3.6585000000000001</v>
      </c>
      <c r="N9" s="14">
        <v>2.31</v>
      </c>
    </row>
    <row r="10" spans="1:15" x14ac:dyDescent="0.3">
      <c r="A10" s="18" t="s">
        <v>286</v>
      </c>
      <c r="B10" s="19" t="s">
        <v>51</v>
      </c>
      <c r="C10" s="25" t="str">
        <f>'Muestras Tintas'!C102</f>
        <v>Maule</v>
      </c>
      <c r="D10" s="19" t="s">
        <v>166</v>
      </c>
      <c r="E10" s="19">
        <v>13</v>
      </c>
      <c r="F10" s="25" t="s">
        <v>280</v>
      </c>
      <c r="G10" s="74">
        <v>45750</v>
      </c>
      <c r="H10" s="19">
        <v>7</v>
      </c>
      <c r="I10" s="20">
        <v>45750</v>
      </c>
      <c r="J10" s="19">
        <v>3.83</v>
      </c>
      <c r="K10" s="21">
        <v>24.4</v>
      </c>
      <c r="L10" s="19">
        <v>1.9403999999999999</v>
      </c>
      <c r="M10" s="19">
        <v>2.9687999999999999</v>
      </c>
      <c r="N10" s="22">
        <v>2.08</v>
      </c>
    </row>
    <row r="11" spans="1:15" x14ac:dyDescent="0.3">
      <c r="F11" s="1"/>
    </row>
    <row r="12" spans="1:15" x14ac:dyDescent="0.3">
      <c r="A12" s="23">
        <v>2026</v>
      </c>
      <c r="B12" s="5"/>
      <c r="C12" s="5"/>
      <c r="D12" s="5"/>
      <c r="E12" s="5"/>
      <c r="F12" s="1"/>
      <c r="G12" s="5"/>
      <c r="H12" s="5"/>
      <c r="I12" s="5"/>
      <c r="J12" s="5"/>
      <c r="K12" s="5"/>
      <c r="L12" s="5"/>
      <c r="M12" s="5"/>
      <c r="N12" s="1"/>
    </row>
    <row r="13" spans="1:15" x14ac:dyDescent="0.3">
      <c r="A13" s="6" t="s">
        <v>0</v>
      </c>
      <c r="B13" s="7" t="s">
        <v>1</v>
      </c>
      <c r="C13" s="26" t="s">
        <v>225</v>
      </c>
      <c r="D13" s="7" t="s">
        <v>3</v>
      </c>
      <c r="E13" s="7" t="s">
        <v>4</v>
      </c>
      <c r="F13" s="7" t="s">
        <v>5</v>
      </c>
      <c r="G13" s="7" t="s">
        <v>226</v>
      </c>
      <c r="H13" s="7" t="s">
        <v>227</v>
      </c>
      <c r="I13" s="8" t="s">
        <v>228</v>
      </c>
      <c r="J13" s="7" t="s">
        <v>8</v>
      </c>
      <c r="K13" s="9" t="s">
        <v>9</v>
      </c>
      <c r="L13" s="7" t="s">
        <v>12</v>
      </c>
      <c r="M13" s="7" t="s">
        <v>13</v>
      </c>
      <c r="N13" s="10" t="s">
        <v>16</v>
      </c>
      <c r="O13" s="39" t="s">
        <v>241</v>
      </c>
    </row>
    <row r="14" spans="1:15" x14ac:dyDescent="0.3">
      <c r="A14" s="27" t="str">
        <f>'Muestras Tintas'!A109</f>
        <v>CA26VALC13-H1/13-1</v>
      </c>
      <c r="B14" s="28" t="str">
        <f>'Muestras Tintas'!B109</f>
        <v>Carmenere</v>
      </c>
      <c r="C14" s="28" t="str">
        <f>'Muestras Tintas'!C109</f>
        <v>Maule</v>
      </c>
      <c r="D14" s="28" t="str">
        <f>'Muestras Tintas'!D109</f>
        <v>VILLA ALEGRE</v>
      </c>
      <c r="E14" s="28">
        <f>'Muestras Tintas'!E109</f>
        <v>13</v>
      </c>
      <c r="F14" s="28" t="str">
        <f>'Muestras Tintas'!F109</f>
        <v>1/13</v>
      </c>
      <c r="G14" s="28"/>
      <c r="H14" s="28" t="str">
        <f>'Muestras Tintas'!G109</f>
        <v>1</v>
      </c>
      <c r="I14" s="103">
        <f>'Muestras Tintas'!H109</f>
        <v>46045</v>
      </c>
      <c r="J14" s="28">
        <f>'Muestras Tintas'!I109</f>
        <v>3.04</v>
      </c>
      <c r="K14" s="28">
        <f>'Muestras Tintas'!J109</f>
        <v>15.1</v>
      </c>
      <c r="L14" s="28">
        <f>'Muestras Tintas'!L109*0.49</f>
        <v>6.5758000000000001</v>
      </c>
      <c r="M14" s="28">
        <f>'Muestras Tintas'!M109*1.53</f>
        <v>10.060974</v>
      </c>
      <c r="N14" s="104">
        <f>'Muestras Tintas'!O109/200</f>
        <v>1.47255</v>
      </c>
      <c r="O14" s="100"/>
    </row>
    <row r="15" spans="1:15" x14ac:dyDescent="0.3">
      <c r="A15" s="29" t="str">
        <f>'Muestras Tintas'!A110</f>
        <v>CA26VALC13-H1/13-2</v>
      </c>
      <c r="B15" s="30" t="str">
        <f>'Muestras Tintas'!B110</f>
        <v>Carmenere</v>
      </c>
      <c r="C15" s="30" t="str">
        <f>'Muestras Tintas'!C110</f>
        <v>Maule</v>
      </c>
      <c r="D15" s="30" t="str">
        <f>'Muestras Tintas'!D110</f>
        <v>VILLA ALEGRE</v>
      </c>
      <c r="E15" s="30">
        <f>'Muestras Tintas'!E110</f>
        <v>13</v>
      </c>
      <c r="F15" s="30" t="str">
        <f>'Muestras Tintas'!F110</f>
        <v>1/13</v>
      </c>
      <c r="G15" s="30"/>
      <c r="H15" s="30" t="str">
        <f>'Muestras Tintas'!G110</f>
        <v>2</v>
      </c>
      <c r="I15" s="17">
        <f>'Muestras Tintas'!H110</f>
        <v>46051</v>
      </c>
      <c r="J15" s="30">
        <f>'Muestras Tintas'!I110</f>
        <v>3.08</v>
      </c>
      <c r="K15" s="30">
        <f>'Muestras Tintas'!J110</f>
        <v>16.899999999999999</v>
      </c>
      <c r="L15" s="30">
        <f>'Muestras Tintas'!L110*0.49</f>
        <v>5.1841999999999997</v>
      </c>
      <c r="M15" s="30">
        <f>'Muestras Tintas'!M110*1.53</f>
        <v>7.931826</v>
      </c>
      <c r="N15" s="105">
        <f>'Muestras Tintas'!O110/200</f>
        <v>1.5821000000000001</v>
      </c>
      <c r="O15" s="101"/>
    </row>
    <row r="16" spans="1:15" x14ac:dyDescent="0.3">
      <c r="A16" s="29" t="str">
        <f>'Muestras Tintas'!A111</f>
        <v>CA26VALC13-H1/13-3</v>
      </c>
      <c r="B16" s="30" t="str">
        <f>'Muestras Tintas'!B111</f>
        <v>Carmenere</v>
      </c>
      <c r="C16" s="30" t="str">
        <f>'Muestras Tintas'!C111</f>
        <v>Maule</v>
      </c>
      <c r="D16" s="30" t="str">
        <f>'Muestras Tintas'!D111</f>
        <v>VILLA ALEGRE</v>
      </c>
      <c r="E16" s="30">
        <f>'Muestras Tintas'!E111</f>
        <v>13</v>
      </c>
      <c r="F16" s="30" t="str">
        <f>'Muestras Tintas'!F111</f>
        <v>1/13</v>
      </c>
      <c r="G16" s="30"/>
      <c r="H16" s="30" t="str">
        <f>'Muestras Tintas'!G111</f>
        <v>3</v>
      </c>
      <c r="I16" s="17">
        <f>'Muestras Tintas'!H111</f>
        <v>46058</v>
      </c>
      <c r="J16" s="30">
        <f>'Muestras Tintas'!I111</f>
        <v>3.2</v>
      </c>
      <c r="K16" s="30">
        <f>'Muestras Tintas'!J111</f>
        <v>18.2</v>
      </c>
      <c r="L16" s="30">
        <f>'Muestras Tintas'!L111*0.49</f>
        <v>3.9053</v>
      </c>
      <c r="M16" s="30">
        <f>'Muestras Tintas'!M111*1.53</f>
        <v>5.9751089999999998</v>
      </c>
      <c r="N16" s="105">
        <f>'Muestras Tintas'!O111/200</f>
        <v>1.7930000000000001</v>
      </c>
      <c r="O16" s="101"/>
    </row>
    <row r="17" spans="1:15" x14ac:dyDescent="0.3">
      <c r="A17" s="29" t="str">
        <f>'Muestras Tintas'!A112</f>
        <v>CA26VALC13-H1/13-4</v>
      </c>
      <c r="B17" s="30" t="str">
        <f>'Muestras Tintas'!B112</f>
        <v>Carmenere</v>
      </c>
      <c r="C17" s="30" t="str">
        <f>'Muestras Tintas'!C112</f>
        <v>Maule</v>
      </c>
      <c r="D17" s="30" t="str">
        <f>'Muestras Tintas'!D112</f>
        <v>VILLA ALEGRE</v>
      </c>
      <c r="E17" s="30">
        <f>'Muestras Tintas'!E112</f>
        <v>13</v>
      </c>
      <c r="F17" s="30" t="str">
        <f>'Muestras Tintas'!F112</f>
        <v>1/13</v>
      </c>
      <c r="G17" s="30"/>
      <c r="H17" s="30" t="str">
        <f>'Muestras Tintas'!G112</f>
        <v>4</v>
      </c>
      <c r="I17" s="17">
        <f>'Muestras Tintas'!H112</f>
        <v>46065</v>
      </c>
      <c r="J17" s="30">
        <f>'Muestras Tintas'!I112</f>
        <v>3.29</v>
      </c>
      <c r="K17" s="30">
        <f>'Muestras Tintas'!J112</f>
        <v>20</v>
      </c>
      <c r="L17" s="30">
        <f>'Muestras Tintas'!L112*0.49</f>
        <v>3.3515999999999999</v>
      </c>
      <c r="M17" s="30">
        <f>'Muestras Tintas'!M112*1.53</f>
        <v>5.127948</v>
      </c>
      <c r="N17" s="105">
        <f>'Muestras Tintas'!O112/200</f>
        <v>1.8385</v>
      </c>
      <c r="O17" s="101"/>
    </row>
    <row r="18" spans="1:15" x14ac:dyDescent="0.3">
      <c r="A18" s="29" t="str">
        <f>'Muestras Tintas'!A113</f>
        <v>CA26VALC13-H1/13-5</v>
      </c>
      <c r="B18" s="30" t="str">
        <f>'Muestras Tintas'!B113</f>
        <v>Carmenere</v>
      </c>
      <c r="C18" s="30" t="str">
        <f>'Muestras Tintas'!C113</f>
        <v>Maule</v>
      </c>
      <c r="D18" s="30" t="str">
        <f>'Muestras Tintas'!D113</f>
        <v>VILLA ALEGRE</v>
      </c>
      <c r="E18" s="30">
        <f>'Muestras Tintas'!E113</f>
        <v>13</v>
      </c>
      <c r="F18" s="30" t="str">
        <f>'Muestras Tintas'!F113</f>
        <v>1/13</v>
      </c>
      <c r="G18" s="30"/>
      <c r="H18" s="30" t="str">
        <f>'Muestras Tintas'!G113</f>
        <v>5</v>
      </c>
      <c r="I18" s="17">
        <f>'Muestras Tintas'!H113</f>
        <v>46072</v>
      </c>
      <c r="J18" s="30">
        <f>'Muestras Tintas'!I113</f>
        <v>3.31</v>
      </c>
      <c r="K18" s="30">
        <f>'Muestras Tintas'!J113</f>
        <v>21.2</v>
      </c>
      <c r="L18" s="30">
        <f>'Muestras Tintas'!L113*0.49</f>
        <v>3.0282</v>
      </c>
      <c r="M18" s="30">
        <f>'Muestras Tintas'!M113*1.53</f>
        <v>4.633146</v>
      </c>
      <c r="N18" s="105">
        <f>'Muestras Tintas'!O113/200</f>
        <v>1.9390000000000001</v>
      </c>
      <c r="O18" s="101"/>
    </row>
    <row r="19" spans="1:15" x14ac:dyDescent="0.3">
      <c r="A19" s="29" t="str">
        <f>'Muestras Tintas'!A114</f>
        <v>CA26VALC13-H1/13-6</v>
      </c>
      <c r="B19" s="30" t="str">
        <f>'Muestras Tintas'!B114</f>
        <v>Carmenere</v>
      </c>
      <c r="C19" s="30" t="str">
        <f>'Muestras Tintas'!C114</f>
        <v>Maule</v>
      </c>
      <c r="D19" s="30" t="str">
        <f>'Muestras Tintas'!D114</f>
        <v>VILLA ALEGRE</v>
      </c>
      <c r="E19" s="30">
        <f>'Muestras Tintas'!E114</f>
        <v>13</v>
      </c>
      <c r="F19" s="30" t="str">
        <f>'Muestras Tintas'!F114</f>
        <v>1/13</v>
      </c>
      <c r="G19" s="30"/>
      <c r="H19" s="30">
        <f>'Muestras Tintas'!G114</f>
        <v>6</v>
      </c>
      <c r="I19" s="17">
        <f>'Muestras Tintas'!H114</f>
        <v>46079</v>
      </c>
      <c r="J19" s="30">
        <f>'Muestras Tintas'!I114</f>
        <v>3.4</v>
      </c>
      <c r="K19" s="30">
        <f>'Muestras Tintas'!J114</f>
        <v>23.4</v>
      </c>
      <c r="L19" s="30">
        <f>'Muestras Tintas'!L114*0.49</f>
        <v>2.7243999999999997</v>
      </c>
      <c r="M19" s="30">
        <f>'Muestras Tintas'!M114*1.53</f>
        <v>4.1683319999999995</v>
      </c>
      <c r="N19" s="105">
        <f>'Muestras Tintas'!O114/200</f>
        <v>1.7475000000000001</v>
      </c>
      <c r="O19" s="101"/>
    </row>
    <row r="20" spans="1:15" x14ac:dyDescent="0.3">
      <c r="A20" s="29" t="str">
        <f>'Muestras Tintas'!A115</f>
        <v>CA26VALC13-H1/13-7</v>
      </c>
      <c r="B20" s="30" t="str">
        <f>'Muestras Tintas'!B115</f>
        <v>Carmenere</v>
      </c>
      <c r="C20" s="30" t="str">
        <f>'Muestras Tintas'!C115</f>
        <v>Maule</v>
      </c>
      <c r="D20" s="30" t="str">
        <f>'Muestras Tintas'!D115</f>
        <v>VILLA ALEGRE</v>
      </c>
      <c r="E20" s="30">
        <f>'Muestras Tintas'!E115</f>
        <v>13</v>
      </c>
      <c r="F20" s="30" t="str">
        <f>'Muestras Tintas'!F115</f>
        <v>1/13</v>
      </c>
      <c r="G20" s="30"/>
      <c r="H20" s="30">
        <f>'Muestras Tintas'!G115</f>
        <v>7</v>
      </c>
      <c r="I20" s="17">
        <f>'Muestras Tintas'!H115</f>
        <v>46086</v>
      </c>
      <c r="J20" s="30">
        <f>'Muestras Tintas'!I115</f>
        <v>3.46</v>
      </c>
      <c r="K20" s="30">
        <f>'Muestras Tintas'!J115</f>
        <v>23.9</v>
      </c>
      <c r="L20" s="30">
        <f>'Muestras Tintas'!L115*0.49</f>
        <v>2.5137</v>
      </c>
      <c r="M20" s="30">
        <f>'Muestras Tintas'!M115*1.53</f>
        <v>3.845961</v>
      </c>
      <c r="N20" s="105">
        <f>'Muestras Tintas'!O115/200</f>
        <v>1.9244999999999999</v>
      </c>
      <c r="O20" s="101">
        <v>1</v>
      </c>
    </row>
    <row r="21" spans="1:15" x14ac:dyDescent="0.3">
      <c r="A21" s="29" t="str">
        <f>'Muestras Tintas'!A116</f>
        <v>CA26VALC13-H1/13-8</v>
      </c>
      <c r="B21" s="30" t="str">
        <f>'Muestras Tintas'!B116</f>
        <v>Carmenere</v>
      </c>
      <c r="C21" s="30" t="str">
        <f>'Muestras Tintas'!C116</f>
        <v>Maule</v>
      </c>
      <c r="D21" s="30" t="str">
        <f>'Muestras Tintas'!D116</f>
        <v>VILLA ALEGRE</v>
      </c>
      <c r="E21" s="30">
        <f>'Muestras Tintas'!E116</f>
        <v>13</v>
      </c>
      <c r="F21" s="30" t="str">
        <f>'Muestras Tintas'!F116</f>
        <v>1/13</v>
      </c>
      <c r="G21" s="30"/>
      <c r="H21" s="30">
        <f>'Muestras Tintas'!G116</f>
        <v>8</v>
      </c>
      <c r="I21" s="17">
        <f>'Muestras Tintas'!H116</f>
        <v>46094</v>
      </c>
      <c r="J21" s="30">
        <f>'Muestras Tintas'!I116</f>
        <v>3.77</v>
      </c>
      <c r="K21" s="30">
        <f>'Muestras Tintas'!J116</f>
        <v>25.4</v>
      </c>
      <c r="L21" s="30">
        <f>'Muestras Tintas'!L116*0.49</f>
        <v>1.3573</v>
      </c>
      <c r="M21" s="30">
        <f>'Muestras Tintas'!M116*1.53</f>
        <v>2.0766689999999999</v>
      </c>
      <c r="N21" s="105">
        <f>'Muestras Tintas'!O116/200</f>
        <v>1.8380000000000001</v>
      </c>
      <c r="O21" s="101"/>
    </row>
    <row r="22" spans="1:15" x14ac:dyDescent="0.3">
      <c r="A22" s="29" t="str">
        <f>'Muestras Tintas'!A117</f>
        <v>CA26VALC13-H1/13-9</v>
      </c>
      <c r="B22" s="30" t="str">
        <f>'Muestras Tintas'!B117</f>
        <v>Carmenere</v>
      </c>
      <c r="C22" s="30" t="str">
        <f>'Muestras Tintas'!C117</f>
        <v>Maule</v>
      </c>
      <c r="D22" s="30" t="str">
        <f>'Muestras Tintas'!D117</f>
        <v>VILLA ALEGRE</v>
      </c>
      <c r="E22" s="30">
        <f>'Muestras Tintas'!E117</f>
        <v>13</v>
      </c>
      <c r="F22" s="30" t="str">
        <f>'Muestras Tintas'!F117</f>
        <v>1/13</v>
      </c>
      <c r="G22" s="30"/>
      <c r="H22" s="30">
        <f>'Muestras Tintas'!G117</f>
        <v>8</v>
      </c>
      <c r="I22" s="17">
        <f>'Muestras Tintas'!H117</f>
        <v>46100</v>
      </c>
      <c r="J22" s="30">
        <f>'Muestras Tintas'!I117</f>
        <v>3.51</v>
      </c>
      <c r="K22" s="30">
        <f>'Muestras Tintas'!J117</f>
        <v>24.8</v>
      </c>
      <c r="L22" s="30">
        <f>'Muestras Tintas'!L117*0.49</f>
        <v>2.2883</v>
      </c>
      <c r="M22" s="30">
        <f>'Muestras Tintas'!M117*1.53</f>
        <v>3.501099</v>
      </c>
      <c r="N22" s="105">
        <f>'Muestras Tintas'!O117/200</f>
        <v>1.8925000000000001</v>
      </c>
      <c r="O22" s="101">
        <v>2</v>
      </c>
    </row>
    <row r="23" spans="1:15" x14ac:dyDescent="0.3">
      <c r="A23" s="29" t="str">
        <f>'Muestras Tintas'!A118</f>
        <v>CA26VALC13-H1/13-9</v>
      </c>
      <c r="B23" s="30" t="str">
        <f>'Muestras Tintas'!B118</f>
        <v>Carmenere</v>
      </c>
      <c r="C23" s="30" t="str">
        <f>'Muestras Tintas'!C118</f>
        <v>Maule</v>
      </c>
      <c r="D23" s="30" t="str">
        <f>'Muestras Tintas'!D118</f>
        <v>VILLA ALEGRE</v>
      </c>
      <c r="E23" s="30">
        <f>'Muestras Tintas'!E118</f>
        <v>13</v>
      </c>
      <c r="F23" s="30" t="str">
        <f>'Muestras Tintas'!F118</f>
        <v>1/13</v>
      </c>
      <c r="G23" s="30"/>
      <c r="H23" s="30">
        <f>'Muestras Tintas'!G118</f>
        <v>9</v>
      </c>
      <c r="I23" s="17">
        <f>'Muestras Tintas'!H118</f>
        <v>46108</v>
      </c>
      <c r="J23" s="30">
        <f>'Muestras Tintas'!I118</f>
        <v>3.95</v>
      </c>
      <c r="K23" s="30">
        <f>'Muestras Tintas'!J118</f>
        <v>26.6</v>
      </c>
      <c r="L23" s="30">
        <f>'Muestras Tintas'!L118*0.49</f>
        <v>1.8865000000000001</v>
      </c>
      <c r="M23" s="30">
        <f>'Muestras Tintas'!M118*1.53</f>
        <v>2.8863449999999999</v>
      </c>
      <c r="N23" s="105">
        <f>'Muestras Tintas'!O118/200</f>
        <v>2.1385000000000001</v>
      </c>
      <c r="O23" s="101"/>
    </row>
    <row r="24" spans="1:15" x14ac:dyDescent="0.3">
      <c r="A24" s="29" t="str">
        <f>'Muestras Tintas'!A119</f>
        <v>CA26VALC13-H1/13-10</v>
      </c>
      <c r="B24" s="30" t="str">
        <f>'Muestras Tintas'!B119</f>
        <v>Carmenere</v>
      </c>
      <c r="C24" s="30" t="str">
        <f>'Muestras Tintas'!C119</f>
        <v>Maule</v>
      </c>
      <c r="D24" s="30" t="str">
        <f>'Muestras Tintas'!D119</f>
        <v>VILLA ALEGRE</v>
      </c>
      <c r="E24" s="30">
        <f>'Muestras Tintas'!E119</f>
        <v>13</v>
      </c>
      <c r="F24" s="30" t="str">
        <f>'Muestras Tintas'!F119</f>
        <v>1/13</v>
      </c>
      <c r="G24" s="30"/>
      <c r="H24" s="30">
        <f>'Muestras Tintas'!G119</f>
        <v>10</v>
      </c>
      <c r="I24" s="17">
        <f>'Muestras Tintas'!H119</f>
        <v>46114</v>
      </c>
      <c r="J24" s="30">
        <f>'Muestras Tintas'!I119</f>
        <v>3.5</v>
      </c>
      <c r="K24" s="30">
        <f>'Muestras Tintas'!J119</f>
        <v>25.1</v>
      </c>
      <c r="L24" s="30">
        <f>'Muestras Tintas'!L119*0.49</f>
        <v>2.0972</v>
      </c>
      <c r="M24" s="30">
        <f>'Muestras Tintas'!M119*1.53</f>
        <v>3.2087159999999999</v>
      </c>
      <c r="N24" s="105">
        <f>'Muestras Tintas'!O119/200</f>
        <v>2.1590000000000003</v>
      </c>
      <c r="O24" s="101"/>
    </row>
    <row r="25" spans="1:15" x14ac:dyDescent="0.3">
      <c r="A25" s="31" t="str">
        <f>'Muestras Tintas'!A120</f>
        <v>CA26VALC13-H1/13-11</v>
      </c>
      <c r="B25" s="32" t="str">
        <f>'Muestras Tintas'!B120</f>
        <v>Carmenere</v>
      </c>
      <c r="C25" s="32" t="str">
        <f>'Muestras Tintas'!C120</f>
        <v>Maule</v>
      </c>
      <c r="D25" s="32" t="str">
        <f>'Muestras Tintas'!D120</f>
        <v>VILLA ALEGRE</v>
      </c>
      <c r="E25" s="32">
        <f>'Muestras Tintas'!E120</f>
        <v>13</v>
      </c>
      <c r="F25" s="32" t="str">
        <f>'Muestras Tintas'!F120</f>
        <v>1/13</v>
      </c>
      <c r="G25" s="32"/>
      <c r="H25" s="32">
        <f>'Muestras Tintas'!G120</f>
        <v>11</v>
      </c>
      <c r="I25" s="20">
        <f>'Muestras Tintas'!H120</f>
        <v>46121</v>
      </c>
      <c r="J25" s="32">
        <f>'Muestras Tintas'!I120</f>
        <v>3.56</v>
      </c>
      <c r="K25" s="32">
        <f>'Muestras Tintas'!J120</f>
        <v>25.6</v>
      </c>
      <c r="L25" s="32">
        <f>'Muestras Tintas'!L120*0.49</f>
        <v>2.0531000000000001</v>
      </c>
      <c r="M25" s="32">
        <f>'Muestras Tintas'!M120*1.53</f>
        <v>3.1412430000000002</v>
      </c>
      <c r="N25" s="106">
        <f>'Muestras Tintas'!O120/200</f>
        <v>2.073</v>
      </c>
      <c r="O25" s="10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D67A-4BE3-4044-A369-558378A62DCC}">
  <sheetPr codeName="Hoja7">
    <tabColor rgb="FFFFFF00"/>
  </sheetPr>
  <dimension ref="A2:P30"/>
  <sheetViews>
    <sheetView topLeftCell="A8" workbookViewId="0">
      <selection activeCell="O26" sqref="O26"/>
    </sheetView>
  </sheetViews>
  <sheetFormatPr baseColWidth="10" defaultColWidth="8.88671875" defaultRowHeight="14.4" x14ac:dyDescent="0.3"/>
  <cols>
    <col min="1" max="1" width="24.44140625" bestFit="1" customWidth="1"/>
    <col min="2" max="2" width="18.5546875" bestFit="1" customWidth="1"/>
    <col min="4" max="4" width="9.554687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5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26" t="s">
        <v>13</v>
      </c>
      <c r="N3" s="39" t="s">
        <v>16</v>
      </c>
    </row>
    <row r="4" spans="1:15" x14ac:dyDescent="0.3">
      <c r="A4" s="33" t="s">
        <v>287</v>
      </c>
      <c r="B4" s="34" t="s">
        <v>19</v>
      </c>
      <c r="C4" s="34" t="s">
        <v>139</v>
      </c>
      <c r="D4" s="34" t="s">
        <v>179</v>
      </c>
      <c r="E4" s="34">
        <v>207</v>
      </c>
      <c r="F4" s="34" t="s">
        <v>288</v>
      </c>
      <c r="G4" s="34"/>
      <c r="H4" s="34">
        <v>1</v>
      </c>
      <c r="I4" s="35">
        <v>45693</v>
      </c>
      <c r="J4" s="34">
        <v>2.88</v>
      </c>
      <c r="K4" s="34">
        <v>18.5</v>
      </c>
      <c r="L4" s="34">
        <v>8.9963999999999995</v>
      </c>
      <c r="M4" s="34">
        <v>13.7645</v>
      </c>
      <c r="N4" s="36">
        <v>1.45</v>
      </c>
    </row>
    <row r="5" spans="1:15" x14ac:dyDescent="0.3">
      <c r="A5" s="11" t="s">
        <v>289</v>
      </c>
      <c r="B5" s="12" t="s">
        <v>19</v>
      </c>
      <c r="C5" s="12" t="s">
        <v>139</v>
      </c>
      <c r="D5" s="12" t="s">
        <v>179</v>
      </c>
      <c r="E5" s="12">
        <v>207</v>
      </c>
      <c r="F5" s="12" t="s">
        <v>288</v>
      </c>
      <c r="G5" s="12"/>
      <c r="H5" s="12">
        <v>2</v>
      </c>
      <c r="I5" s="13">
        <v>45698</v>
      </c>
      <c r="J5" s="12">
        <v>2.95</v>
      </c>
      <c r="K5" s="12">
        <v>19.7</v>
      </c>
      <c r="L5" s="12">
        <v>7.4871999999999996</v>
      </c>
      <c r="M5" s="12">
        <v>11.455399999999999</v>
      </c>
      <c r="N5" s="14">
        <v>1.54</v>
      </c>
    </row>
    <row r="6" spans="1:15" x14ac:dyDescent="0.3">
      <c r="A6" s="11" t="s">
        <v>290</v>
      </c>
      <c r="B6" s="12" t="s">
        <v>19</v>
      </c>
      <c r="C6" s="12" t="s">
        <v>139</v>
      </c>
      <c r="D6" s="12" t="s">
        <v>179</v>
      </c>
      <c r="E6" s="12">
        <v>207</v>
      </c>
      <c r="F6" s="12" t="s">
        <v>288</v>
      </c>
      <c r="G6" s="12"/>
      <c r="H6" s="12">
        <v>3</v>
      </c>
      <c r="I6" s="13">
        <v>45705</v>
      </c>
      <c r="J6" s="12">
        <v>3.08</v>
      </c>
      <c r="K6" s="12">
        <v>20.6</v>
      </c>
      <c r="L6" s="12">
        <v>6.5366</v>
      </c>
      <c r="M6" s="12">
        <v>10.000999999999999</v>
      </c>
      <c r="N6" s="14">
        <v>1.65</v>
      </c>
    </row>
    <row r="7" spans="1:15" x14ac:dyDescent="0.3">
      <c r="A7" s="11" t="s">
        <v>291</v>
      </c>
      <c r="B7" s="12" t="s">
        <v>19</v>
      </c>
      <c r="C7" s="12" t="s">
        <v>139</v>
      </c>
      <c r="D7" s="12" t="s">
        <v>179</v>
      </c>
      <c r="E7" s="12">
        <v>207</v>
      </c>
      <c r="F7" s="12" t="s">
        <v>288</v>
      </c>
      <c r="G7" s="44">
        <v>45712</v>
      </c>
      <c r="H7" s="12">
        <v>4</v>
      </c>
      <c r="I7" s="13">
        <v>45712</v>
      </c>
      <c r="J7" s="12">
        <v>3.17</v>
      </c>
      <c r="K7" s="12">
        <v>21.4</v>
      </c>
      <c r="L7" s="12">
        <v>5.4977999999999998</v>
      </c>
      <c r="M7" s="12">
        <v>8.4116</v>
      </c>
      <c r="N7" s="14">
        <v>1.99</v>
      </c>
    </row>
    <row r="8" spans="1:15" x14ac:dyDescent="0.3">
      <c r="A8" s="11" t="s">
        <v>292</v>
      </c>
      <c r="B8" s="12" t="s">
        <v>19</v>
      </c>
      <c r="C8" s="12" t="s">
        <v>139</v>
      </c>
      <c r="D8" s="12" t="s">
        <v>179</v>
      </c>
      <c r="E8" s="12">
        <v>207</v>
      </c>
      <c r="F8" s="12" t="s">
        <v>288</v>
      </c>
      <c r="G8" s="44">
        <v>45719</v>
      </c>
      <c r="H8" s="12">
        <v>5</v>
      </c>
      <c r="I8" s="13">
        <v>45719</v>
      </c>
      <c r="J8" s="12">
        <v>3.26</v>
      </c>
      <c r="K8" s="12">
        <v>22</v>
      </c>
      <c r="L8" s="12">
        <v>5.2135999999999996</v>
      </c>
      <c r="M8" s="12">
        <v>7.9767999999999999</v>
      </c>
      <c r="N8" s="14">
        <v>2.02</v>
      </c>
    </row>
    <row r="9" spans="1:15" x14ac:dyDescent="0.3">
      <c r="A9" s="11" t="s">
        <v>293</v>
      </c>
      <c r="B9" s="12" t="s">
        <v>19</v>
      </c>
      <c r="C9" s="12" t="s">
        <v>139</v>
      </c>
      <c r="D9" s="12" t="s">
        <v>179</v>
      </c>
      <c r="E9" s="12">
        <v>207</v>
      </c>
      <c r="F9" s="12" t="s">
        <v>288</v>
      </c>
      <c r="G9" s="44">
        <v>45727</v>
      </c>
      <c r="H9" s="12">
        <v>6</v>
      </c>
      <c r="I9" s="13">
        <v>45727</v>
      </c>
      <c r="J9" s="12">
        <v>3.38</v>
      </c>
      <c r="K9" s="15">
        <v>22.7</v>
      </c>
      <c r="L9" s="12">
        <v>5.0568</v>
      </c>
      <c r="M9" s="12">
        <v>7.7369000000000003</v>
      </c>
      <c r="N9" s="14">
        <v>2.02</v>
      </c>
    </row>
    <row r="10" spans="1:15" x14ac:dyDescent="0.3">
      <c r="A10" s="11" t="s">
        <v>294</v>
      </c>
      <c r="B10" s="12" t="s">
        <v>19</v>
      </c>
      <c r="C10" s="12" t="s">
        <v>139</v>
      </c>
      <c r="D10" s="12" t="s">
        <v>179</v>
      </c>
      <c r="E10" s="12">
        <v>207</v>
      </c>
      <c r="F10" s="12" t="s">
        <v>288</v>
      </c>
      <c r="G10" s="44">
        <v>45733</v>
      </c>
      <c r="H10" s="12">
        <v>7</v>
      </c>
      <c r="I10" s="13">
        <v>45733</v>
      </c>
      <c r="J10" s="12">
        <v>3.39</v>
      </c>
      <c r="K10" s="15">
        <v>23.2</v>
      </c>
      <c r="L10" s="12">
        <v>4.7922000000000002</v>
      </c>
      <c r="M10" s="12">
        <v>7.3320999999999996</v>
      </c>
      <c r="N10" s="14">
        <v>1.79</v>
      </c>
    </row>
    <row r="11" spans="1:15" x14ac:dyDescent="0.3">
      <c r="A11" s="11" t="s">
        <v>295</v>
      </c>
      <c r="B11" s="12" t="s">
        <v>19</v>
      </c>
      <c r="C11" s="12" t="s">
        <v>139</v>
      </c>
      <c r="D11" s="12" t="s">
        <v>179</v>
      </c>
      <c r="E11" s="12">
        <v>207</v>
      </c>
      <c r="F11" s="12" t="s">
        <v>288</v>
      </c>
      <c r="G11" s="44">
        <v>45740</v>
      </c>
      <c r="H11" s="12">
        <v>8</v>
      </c>
      <c r="I11" s="13">
        <v>45740</v>
      </c>
      <c r="J11" s="12">
        <v>3.47</v>
      </c>
      <c r="K11" s="15">
        <v>23.5</v>
      </c>
      <c r="L11" s="12">
        <v>4.5472000000000001</v>
      </c>
      <c r="M11" s="12">
        <v>6.9572000000000003</v>
      </c>
      <c r="N11" s="14">
        <v>1.91</v>
      </c>
    </row>
    <row r="12" spans="1:15" x14ac:dyDescent="0.3">
      <c r="A12" s="11" t="s">
        <v>296</v>
      </c>
      <c r="B12" s="12" t="s">
        <v>19</v>
      </c>
      <c r="C12" s="12" t="s">
        <v>139</v>
      </c>
      <c r="D12" s="12" t="s">
        <v>179</v>
      </c>
      <c r="E12" s="12">
        <v>207</v>
      </c>
      <c r="F12" s="12" t="s">
        <v>288</v>
      </c>
      <c r="G12" s="44">
        <v>45747</v>
      </c>
      <c r="H12" s="12">
        <v>9</v>
      </c>
      <c r="I12" s="13">
        <v>45747</v>
      </c>
      <c r="J12" s="12">
        <v>3.47</v>
      </c>
      <c r="K12" s="15">
        <v>23.6</v>
      </c>
      <c r="L12" s="12">
        <v>4.5324999999999998</v>
      </c>
      <c r="M12" s="12">
        <v>6.9347000000000003</v>
      </c>
      <c r="N12" s="14">
        <v>2.1</v>
      </c>
    </row>
    <row r="13" spans="1:15" x14ac:dyDescent="0.3">
      <c r="A13" s="18" t="s">
        <v>297</v>
      </c>
      <c r="B13" s="19" t="s">
        <v>19</v>
      </c>
      <c r="C13" s="19" t="s">
        <v>139</v>
      </c>
      <c r="D13" s="19" t="s">
        <v>179</v>
      </c>
      <c r="E13" s="19">
        <v>207</v>
      </c>
      <c r="F13" s="19" t="s">
        <v>288</v>
      </c>
      <c r="G13" s="53">
        <v>45754</v>
      </c>
      <c r="H13" s="19">
        <v>10</v>
      </c>
      <c r="I13" s="40">
        <v>45754</v>
      </c>
      <c r="J13" s="19">
        <v>3.5</v>
      </c>
      <c r="K13" s="21">
        <v>24.5</v>
      </c>
      <c r="L13" s="19">
        <v>4.2777000000000003</v>
      </c>
      <c r="M13" s="19">
        <v>6.5449000000000002</v>
      </c>
      <c r="N13" s="22">
        <v>1.76</v>
      </c>
    </row>
    <row r="15" spans="1:15" x14ac:dyDescent="0.3">
      <c r="A15" s="23">
        <v>2026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5" x14ac:dyDescent="0.3">
      <c r="A16" s="37" t="s">
        <v>0</v>
      </c>
      <c r="B16" s="26" t="s">
        <v>1</v>
      </c>
      <c r="C16" s="26" t="s">
        <v>225</v>
      </c>
      <c r="D16" s="26" t="s">
        <v>3</v>
      </c>
      <c r="E16" s="26" t="s">
        <v>4</v>
      </c>
      <c r="F16" s="26" t="s">
        <v>5</v>
      </c>
      <c r="G16" s="26" t="s">
        <v>226</v>
      </c>
      <c r="H16" s="26" t="s">
        <v>227</v>
      </c>
      <c r="I16" s="26" t="s">
        <v>228</v>
      </c>
      <c r="J16" s="26" t="s">
        <v>8</v>
      </c>
      <c r="K16" s="38" t="s">
        <v>9</v>
      </c>
      <c r="L16" s="26" t="s">
        <v>12</v>
      </c>
      <c r="M16" s="26" t="s">
        <v>13</v>
      </c>
      <c r="N16" s="94" t="s">
        <v>16</v>
      </c>
      <c r="O16" s="39" t="s">
        <v>241</v>
      </c>
    </row>
    <row r="17" spans="1:16" x14ac:dyDescent="0.3">
      <c r="A17" s="27" t="str">
        <f>'Muestras Tintas'!A134</f>
        <v>CS26LOUC207-H58/63-1</v>
      </c>
      <c r="B17" s="28" t="str">
        <f>'Muestras Tintas'!B134</f>
        <v>Cabernet Sauvignon</v>
      </c>
      <c r="C17" s="28" t="str">
        <f>'Muestras Tintas'!C134</f>
        <v>Maule</v>
      </c>
      <c r="D17" s="28" t="str">
        <f>'Muestras Tintas'!D134</f>
        <v>LOURDES</v>
      </c>
      <c r="E17" s="28">
        <f>'Muestras Tintas'!E134</f>
        <v>207</v>
      </c>
      <c r="F17" s="28" t="str">
        <f>'Muestras Tintas'!F134</f>
        <v>58/63</v>
      </c>
      <c r="G17" s="28"/>
      <c r="H17" s="28" t="str">
        <f>'Muestras Tintas'!G134</f>
        <v>1</v>
      </c>
      <c r="I17" s="35">
        <f>'Muestras Tintas'!H134</f>
        <v>46034</v>
      </c>
      <c r="J17" s="28">
        <f>'Muestras Tintas'!I134</f>
        <v>2.63</v>
      </c>
      <c r="K17" s="28">
        <f>'Muestras Tintas'!J134</f>
        <v>12.1</v>
      </c>
      <c r="L17" s="28">
        <f>'Muestras Tintas'!L134*0.49</f>
        <v>16.081800000000001</v>
      </c>
      <c r="M17" s="28">
        <f>'Muestras Tintas'!M134*1.53</f>
        <v>24.605154000000002</v>
      </c>
      <c r="N17" s="28">
        <f>'Muestras Tintas'!O134/200</f>
        <v>0.85680000000000012</v>
      </c>
      <c r="O17" s="100"/>
    </row>
    <row r="18" spans="1:16" x14ac:dyDescent="0.3">
      <c r="A18" s="29" t="str">
        <f>'Muestras Tintas'!A135</f>
        <v>CS26LOUC207-H58/63-2</v>
      </c>
      <c r="B18" s="30" t="str">
        <f>'Muestras Tintas'!B135</f>
        <v>Cabernet Sauvignon</v>
      </c>
      <c r="C18" s="30" t="str">
        <f>'Muestras Tintas'!C135</f>
        <v>Maule</v>
      </c>
      <c r="D18" s="30" t="str">
        <f>'Muestras Tintas'!D135</f>
        <v>LOURDES</v>
      </c>
      <c r="E18" s="30">
        <f>'Muestras Tintas'!E135</f>
        <v>207</v>
      </c>
      <c r="F18" s="30" t="str">
        <f>'Muestras Tintas'!F135</f>
        <v>58/63</v>
      </c>
      <c r="G18" s="30"/>
      <c r="H18" s="30" t="str">
        <f>'Muestras Tintas'!G135</f>
        <v>2</v>
      </c>
      <c r="I18" s="13">
        <f>'Muestras Tintas'!H135</f>
        <v>46042</v>
      </c>
      <c r="J18" s="30">
        <f>'Muestras Tintas'!I135</f>
        <v>2.94</v>
      </c>
      <c r="K18" s="30">
        <f>'Muestras Tintas'!J135</f>
        <v>14.9</v>
      </c>
      <c r="L18" s="30">
        <f>'Muestras Tintas'!L135*0.49</f>
        <v>13.9062</v>
      </c>
      <c r="M18" s="30">
        <f>'Muestras Tintas'!M135*1.53</f>
        <v>21.276486000000002</v>
      </c>
      <c r="N18" s="30">
        <f>'Muestras Tintas'!O135/200</f>
        <v>1.0702500000000001</v>
      </c>
      <c r="O18" s="101"/>
    </row>
    <row r="19" spans="1:16" x14ac:dyDescent="0.3">
      <c r="A19" s="29" t="str">
        <f>'Muestras Tintas'!A136</f>
        <v>CS26LOUC207-H58/63-3</v>
      </c>
      <c r="B19" s="30" t="str">
        <f>'Muestras Tintas'!B136</f>
        <v>Cabernet Sauvignon</v>
      </c>
      <c r="C19" s="30" t="str">
        <f>'Muestras Tintas'!C136</f>
        <v>Maule</v>
      </c>
      <c r="D19" s="30" t="str">
        <f>'Muestras Tintas'!D136</f>
        <v>LOURDES</v>
      </c>
      <c r="E19" s="30">
        <f>'Muestras Tintas'!E136</f>
        <v>207</v>
      </c>
      <c r="F19" s="30" t="str">
        <f>'Muestras Tintas'!F136</f>
        <v>58/63</v>
      </c>
      <c r="G19" s="30"/>
      <c r="H19" s="30" t="str">
        <f>'Muestras Tintas'!G136</f>
        <v>3</v>
      </c>
      <c r="I19" s="13">
        <f>'Muestras Tintas'!H136</f>
        <v>46049</v>
      </c>
      <c r="J19" s="30">
        <f>'Muestras Tintas'!I136</f>
        <v>2.93</v>
      </c>
      <c r="K19" s="30">
        <f>'Muestras Tintas'!J136</f>
        <v>17.600000000000001</v>
      </c>
      <c r="L19" s="30">
        <f>'Muestras Tintas'!L136*0.49</f>
        <v>9.4962</v>
      </c>
      <c r="M19" s="30">
        <f>'Muestras Tintas'!M136*1.53</f>
        <v>14.529186000000001</v>
      </c>
      <c r="N19" s="30">
        <f>'Muestras Tintas'!O136/200</f>
        <v>1.3025</v>
      </c>
      <c r="O19" s="101"/>
    </row>
    <row r="20" spans="1:16" x14ac:dyDescent="0.3">
      <c r="A20" s="29" t="str">
        <f>'Muestras Tintas'!A137</f>
        <v>CS26LOUC207-H58/63-4</v>
      </c>
      <c r="B20" s="30" t="str">
        <f>'Muestras Tintas'!B137</f>
        <v>Cabernet Sauvignon</v>
      </c>
      <c r="C20" s="30" t="str">
        <f>'Muestras Tintas'!C137</f>
        <v>Maule</v>
      </c>
      <c r="D20" s="30" t="str">
        <f>'Muestras Tintas'!D137</f>
        <v>LOURDES</v>
      </c>
      <c r="E20" s="30">
        <f>'Muestras Tintas'!E137</f>
        <v>207</v>
      </c>
      <c r="F20" s="30" t="str">
        <f>'Muestras Tintas'!F137</f>
        <v>58/63</v>
      </c>
      <c r="G20" s="30"/>
      <c r="H20" s="30" t="str">
        <f>'Muestras Tintas'!G137</f>
        <v>4</v>
      </c>
      <c r="I20" s="13">
        <f>'Muestras Tintas'!H137</f>
        <v>46056</v>
      </c>
      <c r="J20" s="30">
        <f>'Muestras Tintas'!I137</f>
        <v>3.13</v>
      </c>
      <c r="K20" s="30">
        <f>'Muestras Tintas'!J137</f>
        <v>19.3</v>
      </c>
      <c r="L20" s="30">
        <f>'Muestras Tintas'!L137*0.49</f>
        <v>6.2720000000000002</v>
      </c>
      <c r="M20" s="30">
        <f>'Muestras Tintas'!M137*1.53</f>
        <v>9.5961600000000011</v>
      </c>
      <c r="N20" s="30">
        <f>'Muestras Tintas'!O137/200</f>
        <v>1.32565</v>
      </c>
      <c r="O20" s="101"/>
    </row>
    <row r="21" spans="1:16" x14ac:dyDescent="0.3">
      <c r="A21" s="29" t="str">
        <f>'Muestras Tintas'!A138</f>
        <v>CS26LOUC207-H58/63-5</v>
      </c>
      <c r="B21" s="30" t="str">
        <f>'Muestras Tintas'!B138</f>
        <v>Cabernet Sauvignon</v>
      </c>
      <c r="C21" s="30" t="str">
        <f>'Muestras Tintas'!C138</f>
        <v>Maule</v>
      </c>
      <c r="D21" s="30" t="str">
        <f>'Muestras Tintas'!D138</f>
        <v>LOURDES</v>
      </c>
      <c r="E21" s="30">
        <f>'Muestras Tintas'!E138</f>
        <v>207</v>
      </c>
      <c r="F21" s="30" t="str">
        <f>'Muestras Tintas'!F138</f>
        <v>58/63</v>
      </c>
      <c r="G21" s="30"/>
      <c r="H21" s="30" t="str">
        <f>'Muestras Tintas'!G138</f>
        <v>5</v>
      </c>
      <c r="I21" s="13">
        <f>'Muestras Tintas'!H138</f>
        <v>46062</v>
      </c>
      <c r="J21" s="30">
        <f>'Muestras Tintas'!I138</f>
        <v>3.12</v>
      </c>
      <c r="K21" s="30">
        <f>'Muestras Tintas'!J138</f>
        <v>20.2</v>
      </c>
      <c r="L21" s="30">
        <f>'Muestras Tintas'!L138*0.49</f>
        <v>6.1347999999999994</v>
      </c>
      <c r="M21" s="30">
        <f>'Muestras Tintas'!M138*1.53</f>
        <v>9.3862439999999996</v>
      </c>
      <c r="N21" s="30">
        <f>'Muestras Tintas'!O138/200</f>
        <v>1.3984999999999999</v>
      </c>
      <c r="O21" s="101"/>
    </row>
    <row r="22" spans="1:16" x14ac:dyDescent="0.3">
      <c r="A22" s="29" t="str">
        <f>'Muestras Tintas'!A139</f>
        <v>CS26LOUC207-H58/63-6</v>
      </c>
      <c r="B22" s="30" t="str">
        <f>'Muestras Tintas'!B139</f>
        <v>Cabernet Sauvignon</v>
      </c>
      <c r="C22" s="30" t="str">
        <f>'Muestras Tintas'!C139</f>
        <v>Maule</v>
      </c>
      <c r="D22" s="30" t="str">
        <f>'Muestras Tintas'!D139</f>
        <v>LOURDES</v>
      </c>
      <c r="E22" s="30">
        <f>'Muestras Tintas'!E139</f>
        <v>207</v>
      </c>
      <c r="F22" s="30" t="str">
        <f>'Muestras Tintas'!F139</f>
        <v>58/63</v>
      </c>
      <c r="G22" s="30"/>
      <c r="H22" s="30" t="str">
        <f>'Muestras Tintas'!G139</f>
        <v>6</v>
      </c>
      <c r="I22" s="13">
        <f>'Muestras Tintas'!H139</f>
        <v>46069</v>
      </c>
      <c r="J22" s="30" t="str">
        <f>'Muestras Tintas'!I139</f>
        <v>3.02</v>
      </c>
      <c r="K22" s="30">
        <f>'Muestras Tintas'!J139</f>
        <v>21.9</v>
      </c>
      <c r="L22" s="30">
        <f>'Muestras Tintas'!L139*0.49</f>
        <v>5.8015999999999996</v>
      </c>
      <c r="M22" s="30">
        <f>'Muestras Tintas'!M139*1.53</f>
        <v>8.8764479999999999</v>
      </c>
      <c r="N22" s="30">
        <f>'Muestras Tintas'!O139/200</f>
        <v>1.4724999999999999</v>
      </c>
      <c r="O22" s="101"/>
    </row>
    <row r="23" spans="1:16" x14ac:dyDescent="0.3">
      <c r="A23" s="29" t="str">
        <f>'Muestras Tintas'!A140</f>
        <v>CS26LOUC207-H58/63-7</v>
      </c>
      <c r="B23" s="30" t="str">
        <f>'Muestras Tintas'!B140</f>
        <v>Cabernet Sauvignon</v>
      </c>
      <c r="C23" s="30" t="str">
        <f>'Muestras Tintas'!C140</f>
        <v>Maule</v>
      </c>
      <c r="D23" s="30" t="str">
        <f>'Muestras Tintas'!D140</f>
        <v>LOURDES</v>
      </c>
      <c r="E23" s="30">
        <f>'Muestras Tintas'!E140</f>
        <v>207</v>
      </c>
      <c r="F23" s="30" t="str">
        <f>'Muestras Tintas'!F140</f>
        <v>58/63</v>
      </c>
      <c r="G23" s="30"/>
      <c r="H23" s="30" t="str">
        <f>'Muestras Tintas'!G140</f>
        <v>7</v>
      </c>
      <c r="I23" s="13">
        <f>'Muestras Tintas'!H140</f>
        <v>46076</v>
      </c>
      <c r="J23" s="30">
        <f>'Muestras Tintas'!I140</f>
        <v>3.25</v>
      </c>
      <c r="K23" s="30">
        <f>'Muestras Tintas'!J140</f>
        <v>23</v>
      </c>
      <c r="L23" s="30">
        <f>'Muestras Tintas'!L140*0.49</f>
        <v>4.7039999999999997</v>
      </c>
      <c r="M23" s="30">
        <f>'Muestras Tintas'!M140*1.53</f>
        <v>7.19712</v>
      </c>
      <c r="N23" s="30">
        <f>'Muestras Tintas'!O140/200</f>
        <v>1.3880000000000001</v>
      </c>
      <c r="O23" s="101">
        <v>1</v>
      </c>
      <c r="P23" t="s">
        <v>298</v>
      </c>
    </row>
    <row r="24" spans="1:16" x14ac:dyDescent="0.3">
      <c r="A24" s="29" t="str">
        <f>'Muestras Tintas'!A141</f>
        <v>CS26LOUC207-H58/63-8</v>
      </c>
      <c r="B24" s="30" t="str">
        <f>'Muestras Tintas'!B141</f>
        <v>Cabernet Sauvignon</v>
      </c>
      <c r="C24" s="30" t="str">
        <f>'Muestras Tintas'!C141</f>
        <v>Maule</v>
      </c>
      <c r="D24" s="30" t="str">
        <f>'Muestras Tintas'!D141</f>
        <v>LOURDES</v>
      </c>
      <c r="E24" s="30">
        <f>'Muestras Tintas'!E141</f>
        <v>207</v>
      </c>
      <c r="F24" s="30" t="str">
        <f>'Muestras Tintas'!F141</f>
        <v>58/63</v>
      </c>
      <c r="G24" s="30"/>
      <c r="H24" s="30" t="str">
        <f>'Muestras Tintas'!G141</f>
        <v>8</v>
      </c>
      <c r="I24" s="13">
        <f>'Muestras Tintas'!H141</f>
        <v>46085</v>
      </c>
      <c r="J24" s="30">
        <f>'Muestras Tintas'!I141</f>
        <v>3.28</v>
      </c>
      <c r="K24" s="30">
        <f>'Muestras Tintas'!J141</f>
        <v>23.4</v>
      </c>
      <c r="L24" s="30">
        <f>'Muestras Tintas'!L141*0.49</f>
        <v>4.6011000000000006</v>
      </c>
      <c r="M24" s="30">
        <f>'Muestras Tintas'!M141*1.53</f>
        <v>7.039683000000001</v>
      </c>
      <c r="N24" s="30">
        <f>'Muestras Tintas'!O141/200</f>
        <v>1.5275000000000001</v>
      </c>
      <c r="O24" s="101"/>
    </row>
    <row r="25" spans="1:16" x14ac:dyDescent="0.3">
      <c r="A25" s="29" t="str">
        <f>'Muestras Tintas'!A142</f>
        <v>CS26LOUC207-H58/63-9</v>
      </c>
      <c r="B25" s="30" t="str">
        <f>'Muestras Tintas'!B142</f>
        <v>Cabernet Sauvignon</v>
      </c>
      <c r="C25" s="30" t="str">
        <f>'Muestras Tintas'!C142</f>
        <v>Maule</v>
      </c>
      <c r="D25" s="30" t="str">
        <f>'Muestras Tintas'!D142</f>
        <v>LOURDES</v>
      </c>
      <c r="E25" s="30">
        <f>'Muestras Tintas'!E142</f>
        <v>207</v>
      </c>
      <c r="F25" s="30" t="str">
        <f>'Muestras Tintas'!F142</f>
        <v>58/63</v>
      </c>
      <c r="G25" s="30"/>
      <c r="H25" s="30" t="str">
        <f>'Muestras Tintas'!G142</f>
        <v>9</v>
      </c>
      <c r="I25" s="13">
        <f>'Muestras Tintas'!H142</f>
        <v>46093</v>
      </c>
      <c r="J25" s="30">
        <f>'Muestras Tintas'!I142</f>
        <v>3.2</v>
      </c>
      <c r="K25" s="30">
        <f>'Muestras Tintas'!J142</f>
        <v>23.8</v>
      </c>
      <c r="L25" s="30">
        <f>'Muestras Tintas'!L142*0.49</f>
        <v>4.41</v>
      </c>
      <c r="M25" s="30">
        <f>'Muestras Tintas'!M142*1.53</f>
        <v>6.7473000000000001</v>
      </c>
      <c r="N25" s="30">
        <f>'Muestras Tintas'!O142/200</f>
        <v>1.516</v>
      </c>
      <c r="O25" s="101">
        <v>2</v>
      </c>
    </row>
    <row r="26" spans="1:16" x14ac:dyDescent="0.3">
      <c r="A26" s="29" t="str">
        <f>'Muestras Tintas'!A143</f>
        <v>CS26LOUC207-H58/63-10</v>
      </c>
      <c r="B26" s="30" t="str">
        <f>'Muestras Tintas'!B143</f>
        <v>Cabernet Sauvignon</v>
      </c>
      <c r="C26" s="30" t="str">
        <f>'Muestras Tintas'!C143</f>
        <v>Maule</v>
      </c>
      <c r="D26" s="30" t="str">
        <f>'Muestras Tintas'!D143</f>
        <v>LOURDES</v>
      </c>
      <c r="E26" s="30">
        <f>'Muestras Tintas'!E143</f>
        <v>207</v>
      </c>
      <c r="F26" s="30" t="str">
        <f>'Muestras Tintas'!F143</f>
        <v>58/63</v>
      </c>
      <c r="G26" s="30"/>
      <c r="H26" s="30">
        <f>'Muestras Tintas'!G143</f>
        <v>10</v>
      </c>
      <c r="I26" s="13">
        <f>'Muestras Tintas'!H143</f>
        <v>46100</v>
      </c>
      <c r="J26" s="30">
        <f>'Muestras Tintas'!I143</f>
        <v>3.39</v>
      </c>
      <c r="K26" s="30">
        <f>'Muestras Tintas'!J143</f>
        <v>23.3</v>
      </c>
      <c r="L26" s="30">
        <f>'Muestras Tintas'!L143*0.49</f>
        <v>4.0424999999999995</v>
      </c>
      <c r="M26" s="30">
        <f>'Muestras Tintas'!M143*1.53</f>
        <v>6.1850249999999996</v>
      </c>
      <c r="N26" s="30">
        <f>'Muestras Tintas'!O143/200</f>
        <v>1.554</v>
      </c>
      <c r="O26" s="101"/>
    </row>
    <row r="27" spans="1:16" x14ac:dyDescent="0.3">
      <c r="A27" s="29" t="str">
        <f>'Muestras Tintas'!A144</f>
        <v>CS26LOUC207-H58/63-11</v>
      </c>
      <c r="B27" s="30" t="str">
        <f>'Muestras Tintas'!B144</f>
        <v>Cabernet Sauvignon</v>
      </c>
      <c r="C27" s="30" t="str">
        <f>'Muestras Tintas'!C144</f>
        <v>Maule</v>
      </c>
      <c r="D27" s="30" t="str">
        <f>'Muestras Tintas'!D144</f>
        <v>LOURDES</v>
      </c>
      <c r="E27" s="30">
        <f>'Muestras Tintas'!E144</f>
        <v>207</v>
      </c>
      <c r="F27" s="30" t="str">
        <f>'Muestras Tintas'!F144</f>
        <v>58/63</v>
      </c>
      <c r="G27" s="30"/>
      <c r="H27" s="30">
        <f>'Muestras Tintas'!G144</f>
        <v>11</v>
      </c>
      <c r="I27" s="13">
        <f>'Muestras Tintas'!H144</f>
        <v>46107</v>
      </c>
      <c r="J27" s="30">
        <f>'Muestras Tintas'!I144</f>
        <v>3.16</v>
      </c>
      <c r="K27" s="30">
        <f>'Muestras Tintas'!J144</f>
        <v>24</v>
      </c>
      <c r="L27" s="30">
        <f>'Muestras Tintas'!L144*0.49</f>
        <v>5.0911</v>
      </c>
      <c r="M27" s="30">
        <f>'Muestras Tintas'!M144*1.53</f>
        <v>7.7893829999999999</v>
      </c>
      <c r="N27" s="30">
        <f>'Muestras Tintas'!O144/200</f>
        <v>1.494</v>
      </c>
      <c r="O27" s="101"/>
    </row>
    <row r="28" spans="1:16" x14ac:dyDescent="0.3">
      <c r="A28" s="29" t="str">
        <f>'Muestras Tintas'!A145</f>
        <v>CS26LOUC207-H58/63-12</v>
      </c>
      <c r="B28" s="30" t="str">
        <f>'Muestras Tintas'!B145</f>
        <v>Cabernet Sauvignon</v>
      </c>
      <c r="C28" s="30" t="str">
        <f>'Muestras Tintas'!C145</f>
        <v>Maule</v>
      </c>
      <c r="D28" s="30" t="str">
        <f>'Muestras Tintas'!D145</f>
        <v>LOURDES</v>
      </c>
      <c r="E28" s="30">
        <f>'Muestras Tintas'!E145</f>
        <v>207</v>
      </c>
      <c r="F28" s="30" t="str">
        <f>'Muestras Tintas'!F145</f>
        <v>58/63</v>
      </c>
      <c r="G28" s="30"/>
      <c r="H28" s="30">
        <f>'Muestras Tintas'!G145</f>
        <v>12</v>
      </c>
      <c r="I28" s="13">
        <f>'Muestras Tintas'!H145</f>
        <v>46121</v>
      </c>
      <c r="J28" s="30">
        <f>'Muestras Tintas'!I145</f>
        <v>3.23</v>
      </c>
      <c r="K28" s="30">
        <f>'Muestras Tintas'!J145</f>
        <v>25.2</v>
      </c>
      <c r="L28" s="30">
        <f>'Muestras Tintas'!L145*0.49</f>
        <v>4.1845999999999997</v>
      </c>
      <c r="M28" s="30">
        <f>'Muestras Tintas'!M145*1.53</f>
        <v>6.4024379999999992</v>
      </c>
      <c r="N28" s="30">
        <f>'Muestras Tintas'!O145/200</f>
        <v>1.3765000000000001</v>
      </c>
      <c r="O28" s="101"/>
    </row>
    <row r="29" spans="1:16" x14ac:dyDescent="0.3">
      <c r="A29" s="29" t="str">
        <f>'Muestras Tintas'!A146</f>
        <v>CS26LOUC207-H58/63-13</v>
      </c>
      <c r="B29" s="30" t="str">
        <f>'Muestras Tintas'!B146</f>
        <v>Cabernet Sauvignon</v>
      </c>
      <c r="C29" s="30" t="str">
        <f>'Muestras Tintas'!C146</f>
        <v>Maule</v>
      </c>
      <c r="D29" s="30" t="str">
        <f>'Muestras Tintas'!D146</f>
        <v>LOURDES</v>
      </c>
      <c r="E29" s="30">
        <f>'Muestras Tintas'!E146</f>
        <v>207</v>
      </c>
      <c r="F29" s="30" t="str">
        <f>'Muestras Tintas'!F146</f>
        <v>58/63</v>
      </c>
      <c r="G29" s="30"/>
      <c r="H29" s="30">
        <f>'Muestras Tintas'!G146</f>
        <v>13</v>
      </c>
      <c r="I29" s="13">
        <f>'Muestras Tintas'!H146</f>
        <v>46129</v>
      </c>
      <c r="J29" s="30">
        <f>'Muestras Tintas'!I146</f>
        <v>3.37</v>
      </c>
      <c r="K29" s="30">
        <f>'Muestras Tintas'!J146</f>
        <v>23.5</v>
      </c>
      <c r="L29" s="30">
        <f>'Muestras Tintas'!L146*0.49</f>
        <v>4.1503000000000005</v>
      </c>
      <c r="M29" s="30">
        <f>'Muestras Tintas'!M146*1.53</f>
        <v>6.349959000000001</v>
      </c>
      <c r="N29" s="30">
        <f>'Muestras Tintas'!O146/200</f>
        <v>1.6575</v>
      </c>
      <c r="O29" s="101">
        <v>4</v>
      </c>
    </row>
    <row r="30" spans="1:16" x14ac:dyDescent="0.3">
      <c r="A30" s="31" t="str">
        <f>'Muestras Tintas'!A147</f>
        <v>CS26LOUC207-H58/63-14</v>
      </c>
      <c r="B30" s="32" t="str">
        <f>'Muestras Tintas'!B147</f>
        <v>Cabernet Sauvignon</v>
      </c>
      <c r="C30" s="32" t="str">
        <f>'Muestras Tintas'!C147</f>
        <v>Maule</v>
      </c>
      <c r="D30" s="32" t="str">
        <f>'Muestras Tintas'!D147</f>
        <v>LOURDES</v>
      </c>
      <c r="E30" s="32">
        <f>'Muestras Tintas'!E147</f>
        <v>207</v>
      </c>
      <c r="F30" s="32" t="str">
        <f>'Muestras Tintas'!F147</f>
        <v>58/63</v>
      </c>
      <c r="G30" s="32"/>
      <c r="H30" s="32">
        <f>'Muestras Tintas'!G147</f>
        <v>14</v>
      </c>
      <c r="I30" s="40">
        <f>'Muestras Tintas'!H147</f>
        <v>46135</v>
      </c>
      <c r="J30" s="32" t="str">
        <f>'Muestras Tintas'!I147</f>
        <v>3.41</v>
      </c>
      <c r="K30" s="32">
        <f>'Muestras Tintas'!J147</f>
        <v>24.8</v>
      </c>
      <c r="L30" s="32">
        <f>'Muestras Tintas'!L147*0.49</f>
        <v>3.8220000000000001</v>
      </c>
      <c r="M30" s="32">
        <f>'Muestras Tintas'!M147*1.53</f>
        <v>5.8476600000000003</v>
      </c>
      <c r="N30" s="32">
        <f>'Muestras Tintas'!O147/200</f>
        <v>1.494</v>
      </c>
      <c r="O30" s="102">
        <v>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5DE7-74C6-4E0D-9176-12109A4C2594}">
  <sheetPr codeName="Hoja8">
    <tabColor rgb="FFFFFF00"/>
  </sheetPr>
  <dimension ref="A2:O28"/>
  <sheetViews>
    <sheetView workbookViewId="0">
      <selection activeCell="O15" sqref="O15"/>
    </sheetView>
  </sheetViews>
  <sheetFormatPr baseColWidth="10" defaultColWidth="8.88671875" defaultRowHeight="14.4" x14ac:dyDescent="0.3"/>
  <cols>
    <col min="1" max="1" width="23.44140625" bestFit="1" customWidth="1"/>
    <col min="2" max="2" width="10.664062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5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5" x14ac:dyDescent="0.3">
      <c r="A4" s="45" t="s">
        <v>299</v>
      </c>
      <c r="B4" s="46" t="s">
        <v>51</v>
      </c>
      <c r="C4" s="46" t="s">
        <v>139</v>
      </c>
      <c r="D4" s="46" t="s">
        <v>179</v>
      </c>
      <c r="E4" s="46">
        <v>171</v>
      </c>
      <c r="F4" s="46" t="s">
        <v>194</v>
      </c>
      <c r="G4" s="46"/>
      <c r="H4" s="46">
        <v>1</v>
      </c>
      <c r="I4" s="47">
        <v>45705</v>
      </c>
      <c r="J4" s="46">
        <v>3.29</v>
      </c>
      <c r="K4" s="46">
        <v>19.399999999999999</v>
      </c>
      <c r="L4" s="46">
        <v>3.6848000000000001</v>
      </c>
      <c r="M4" s="46">
        <v>5.6376999999999997</v>
      </c>
      <c r="N4" s="48">
        <v>2.04</v>
      </c>
    </row>
    <row r="5" spans="1:15" x14ac:dyDescent="0.3">
      <c r="A5" s="49" t="s">
        <v>300</v>
      </c>
      <c r="B5" s="42" t="s">
        <v>51</v>
      </c>
      <c r="C5" s="42" t="s">
        <v>139</v>
      </c>
      <c r="D5" s="42" t="s">
        <v>179</v>
      </c>
      <c r="E5" s="42">
        <v>171</v>
      </c>
      <c r="F5" s="42" t="s">
        <v>194</v>
      </c>
      <c r="G5" s="42"/>
      <c r="H5" s="42">
        <v>2</v>
      </c>
      <c r="I5" s="41">
        <v>45713</v>
      </c>
      <c r="J5" s="42">
        <v>3.47</v>
      </c>
      <c r="K5" s="42">
        <v>21.1</v>
      </c>
      <c r="L5" s="42">
        <v>3.2732000000000001</v>
      </c>
      <c r="M5" s="42">
        <v>5.008</v>
      </c>
      <c r="N5" s="50">
        <v>2.4900000000000002</v>
      </c>
    </row>
    <row r="6" spans="1:15" x14ac:dyDescent="0.3">
      <c r="A6" s="49" t="s">
        <v>301</v>
      </c>
      <c r="B6" s="42" t="s">
        <v>51</v>
      </c>
      <c r="C6" s="42" t="s">
        <v>139</v>
      </c>
      <c r="D6" s="42" t="s">
        <v>179</v>
      </c>
      <c r="E6" s="42">
        <v>171</v>
      </c>
      <c r="F6" s="42" t="s">
        <v>194</v>
      </c>
      <c r="G6" s="44">
        <v>45720</v>
      </c>
      <c r="H6" s="42">
        <v>3</v>
      </c>
      <c r="I6" s="41">
        <v>45720</v>
      </c>
      <c r="J6" s="42">
        <v>3.57</v>
      </c>
      <c r="K6" s="42">
        <v>22</v>
      </c>
      <c r="L6" s="42">
        <v>3.0282</v>
      </c>
      <c r="M6" s="42">
        <v>4.6330999999999998</v>
      </c>
      <c r="N6" s="50">
        <v>2.71</v>
      </c>
    </row>
    <row r="7" spans="1:15" x14ac:dyDescent="0.3">
      <c r="A7" s="49" t="s">
        <v>302</v>
      </c>
      <c r="B7" s="42" t="s">
        <v>51</v>
      </c>
      <c r="C7" s="42" t="s">
        <v>139</v>
      </c>
      <c r="D7" s="42" t="s">
        <v>179</v>
      </c>
      <c r="E7" s="42">
        <v>171</v>
      </c>
      <c r="F7" s="42" t="s">
        <v>194</v>
      </c>
      <c r="G7" s="44">
        <v>45727</v>
      </c>
      <c r="H7" s="42">
        <v>4</v>
      </c>
      <c r="I7" s="41">
        <v>45727</v>
      </c>
      <c r="J7" s="42">
        <v>3.62</v>
      </c>
      <c r="K7" s="56">
        <v>23.1</v>
      </c>
      <c r="L7" s="42">
        <v>2.8812000000000002</v>
      </c>
      <c r="M7" s="42">
        <v>4.4081999999999999</v>
      </c>
      <c r="N7" s="50">
        <v>2.64</v>
      </c>
    </row>
    <row r="8" spans="1:15" x14ac:dyDescent="0.3">
      <c r="A8" s="49" t="s">
        <v>303</v>
      </c>
      <c r="B8" s="42" t="s">
        <v>51</v>
      </c>
      <c r="C8" s="42" t="s">
        <v>139</v>
      </c>
      <c r="D8" s="42" t="s">
        <v>179</v>
      </c>
      <c r="E8" s="42">
        <v>171</v>
      </c>
      <c r="F8" s="42" t="s">
        <v>194</v>
      </c>
      <c r="G8" s="44">
        <v>45734</v>
      </c>
      <c r="H8" s="42">
        <v>5</v>
      </c>
      <c r="I8" s="41">
        <v>45734</v>
      </c>
      <c r="J8" s="42">
        <v>3.64</v>
      </c>
      <c r="K8" s="56">
        <v>23.6</v>
      </c>
      <c r="L8" s="42">
        <v>2.7734000000000001</v>
      </c>
      <c r="M8" s="42">
        <v>4.2432999999999996</v>
      </c>
      <c r="N8" s="50">
        <v>2.46</v>
      </c>
    </row>
    <row r="9" spans="1:15" x14ac:dyDescent="0.3">
      <c r="A9" s="49" t="s">
        <v>304</v>
      </c>
      <c r="B9" s="42" t="s">
        <v>51</v>
      </c>
      <c r="C9" s="42" t="s">
        <v>139</v>
      </c>
      <c r="D9" s="42" t="s">
        <v>179</v>
      </c>
      <c r="E9" s="42">
        <v>171</v>
      </c>
      <c r="F9" s="42" t="s">
        <v>194</v>
      </c>
      <c r="G9" s="44">
        <v>45741</v>
      </c>
      <c r="H9" s="42">
        <v>6</v>
      </c>
      <c r="I9" s="41">
        <v>45741</v>
      </c>
      <c r="J9" s="42">
        <v>3.64</v>
      </c>
      <c r="K9" s="56">
        <v>23.7</v>
      </c>
      <c r="L9" s="42">
        <v>2.7342</v>
      </c>
      <c r="M9" s="42">
        <v>4.1833</v>
      </c>
      <c r="N9" s="50">
        <v>2.2799999999999998</v>
      </c>
    </row>
    <row r="10" spans="1:15" x14ac:dyDescent="0.3">
      <c r="A10" s="49" t="s">
        <v>305</v>
      </c>
      <c r="B10" s="42" t="s">
        <v>51</v>
      </c>
      <c r="C10" s="42" t="s">
        <v>139</v>
      </c>
      <c r="D10" s="42" t="s">
        <v>179</v>
      </c>
      <c r="E10" s="42">
        <v>171</v>
      </c>
      <c r="F10" s="42" t="s">
        <v>194</v>
      </c>
      <c r="G10" s="44">
        <v>45748</v>
      </c>
      <c r="H10" s="42">
        <v>7</v>
      </c>
      <c r="I10" s="41">
        <v>45748</v>
      </c>
      <c r="J10" s="42">
        <v>3.6</v>
      </c>
      <c r="K10" s="56">
        <v>24.4</v>
      </c>
      <c r="L10" s="42">
        <v>2.6949999999999998</v>
      </c>
      <c r="M10" s="42">
        <v>4.1234000000000002</v>
      </c>
      <c r="N10" s="50">
        <v>1.97</v>
      </c>
    </row>
    <row r="11" spans="1:15" x14ac:dyDescent="0.3">
      <c r="A11" s="49" t="s">
        <v>306</v>
      </c>
      <c r="B11" s="42" t="s">
        <v>51</v>
      </c>
      <c r="C11" s="42" t="s">
        <v>139</v>
      </c>
      <c r="D11" s="42" t="s">
        <v>179</v>
      </c>
      <c r="E11" s="42">
        <v>171</v>
      </c>
      <c r="F11" s="42" t="s">
        <v>194</v>
      </c>
      <c r="G11" s="44">
        <v>45755</v>
      </c>
      <c r="H11" s="42">
        <v>8</v>
      </c>
      <c r="I11" s="41">
        <v>45755</v>
      </c>
      <c r="J11" s="42">
        <v>3.7</v>
      </c>
      <c r="K11" s="56">
        <v>25</v>
      </c>
      <c r="L11" s="42">
        <v>2.6166</v>
      </c>
      <c r="M11" s="42">
        <v>4.0034000000000001</v>
      </c>
      <c r="N11" s="50">
        <v>2.71</v>
      </c>
    </row>
    <row r="12" spans="1:15" x14ac:dyDescent="0.3">
      <c r="A12" s="51" t="s">
        <v>307</v>
      </c>
      <c r="B12" s="52" t="s">
        <v>51</v>
      </c>
      <c r="C12" s="52" t="s">
        <v>139</v>
      </c>
      <c r="D12" s="52" t="s">
        <v>179</v>
      </c>
      <c r="E12" s="52">
        <v>171</v>
      </c>
      <c r="F12" s="52" t="s">
        <v>194</v>
      </c>
      <c r="G12" s="53">
        <v>45762</v>
      </c>
      <c r="H12" s="52">
        <v>9</v>
      </c>
      <c r="I12" s="54">
        <v>45762</v>
      </c>
      <c r="J12" s="52">
        <v>3.7</v>
      </c>
      <c r="K12" s="57">
        <v>25.1</v>
      </c>
      <c r="L12" s="52">
        <v>2.3666999999999998</v>
      </c>
      <c r="M12" s="52">
        <v>3.6211000000000002</v>
      </c>
      <c r="N12" s="55">
        <v>2.16</v>
      </c>
    </row>
    <row r="14" spans="1:15" x14ac:dyDescent="0.3">
      <c r="A14" s="23">
        <v>2026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5" x14ac:dyDescent="0.3">
      <c r="A15" s="37" t="s">
        <v>0</v>
      </c>
      <c r="B15" s="26" t="s">
        <v>1</v>
      </c>
      <c r="C15" s="26" t="s">
        <v>225</v>
      </c>
      <c r="D15" s="26" t="s">
        <v>3</v>
      </c>
      <c r="E15" s="26" t="s">
        <v>4</v>
      </c>
      <c r="F15" s="26" t="s">
        <v>5</v>
      </c>
      <c r="G15" s="26" t="s">
        <v>226</v>
      </c>
      <c r="H15" s="26" t="s">
        <v>227</v>
      </c>
      <c r="I15" s="26" t="s">
        <v>228</v>
      </c>
      <c r="J15" s="26" t="s">
        <v>8</v>
      </c>
      <c r="K15" s="38" t="s">
        <v>9</v>
      </c>
      <c r="L15" s="26" t="s">
        <v>12</v>
      </c>
      <c r="M15" s="7" t="s">
        <v>13</v>
      </c>
      <c r="N15" s="39" t="s">
        <v>16</v>
      </c>
      <c r="O15" s="39" t="s">
        <v>241</v>
      </c>
    </row>
    <row r="16" spans="1:15" x14ac:dyDescent="0.3">
      <c r="A16" s="27" t="str">
        <f>'Muestras Tintas'!A121</f>
        <v>CA26LOUC171-H58/65-1</v>
      </c>
      <c r="B16" s="28" t="str">
        <f>'Muestras Tintas'!B121</f>
        <v>Carmenere</v>
      </c>
      <c r="C16" s="28" t="str">
        <f>'Muestras Tintas'!C121</f>
        <v>Maule</v>
      </c>
      <c r="D16" s="28" t="str">
        <f>'Muestras Tintas'!D121</f>
        <v>LOURDES</v>
      </c>
      <c r="E16" s="28">
        <f>'Muestras Tintas'!E121</f>
        <v>171</v>
      </c>
      <c r="F16" s="28" t="str">
        <f>'Muestras Tintas'!F121</f>
        <v>58/65</v>
      </c>
      <c r="G16" s="28"/>
      <c r="H16" s="28" t="str">
        <f>'Muestras Tintas'!G121</f>
        <v>1</v>
      </c>
      <c r="I16" s="47">
        <f>'Muestras Tintas'!H121</f>
        <v>46036</v>
      </c>
      <c r="J16" s="28">
        <f>'Muestras Tintas'!I121</f>
        <v>2.77</v>
      </c>
      <c r="K16" s="28">
        <f>'Muestras Tintas'!J121</f>
        <v>8.8000000000000007</v>
      </c>
      <c r="L16" s="28">
        <f>'Muestras Tintas'!L121*0.49</f>
        <v>14.9352</v>
      </c>
      <c r="M16" s="28">
        <f>'Muestras Tintas'!M121*1.53</f>
        <v>22.850856</v>
      </c>
      <c r="N16" s="58">
        <f>'Muestras Tintas'!O121/200</f>
        <v>1.0751500000000001</v>
      </c>
      <c r="O16" s="65"/>
    </row>
    <row r="17" spans="1:15" x14ac:dyDescent="0.3">
      <c r="A17" s="29" t="str">
        <f>'Muestras Tintas'!A122</f>
        <v>CA26LOUC171-H58/65-2</v>
      </c>
      <c r="B17" s="30" t="str">
        <f>'Muestras Tintas'!B122</f>
        <v>Carmenere</v>
      </c>
      <c r="C17" s="30" t="str">
        <f>'Muestras Tintas'!C122</f>
        <v>Maule</v>
      </c>
      <c r="D17" s="30" t="str">
        <f>'Muestras Tintas'!D122</f>
        <v>LOURDES</v>
      </c>
      <c r="E17" s="30">
        <f>'Muestras Tintas'!E122</f>
        <v>171</v>
      </c>
      <c r="F17" s="30" t="str">
        <f>'Muestras Tintas'!F122</f>
        <v>58/65</v>
      </c>
      <c r="G17" s="30"/>
      <c r="H17" s="30" t="str">
        <f>'Muestras Tintas'!G122</f>
        <v>2</v>
      </c>
      <c r="I17" s="41">
        <f>'Muestras Tintas'!H122</f>
        <v>46042</v>
      </c>
      <c r="J17" s="30">
        <f>'Muestras Tintas'!I122</f>
        <v>2.88</v>
      </c>
      <c r="K17" s="30">
        <f>'Muestras Tintas'!J122</f>
        <v>13</v>
      </c>
      <c r="L17" s="30">
        <f>'Muestras Tintas'!L122*0.49</f>
        <v>9.8000000000000007</v>
      </c>
      <c r="M17" s="30">
        <f>'Muestras Tintas'!M122*1.53</f>
        <v>14.994000000000002</v>
      </c>
      <c r="N17" s="59">
        <f>'Muestras Tintas'!O122/200</f>
        <v>1.3878999999999999</v>
      </c>
      <c r="O17" s="68"/>
    </row>
    <row r="18" spans="1:15" x14ac:dyDescent="0.3">
      <c r="A18" s="29" t="str">
        <f>'Muestras Tintas'!A123</f>
        <v>CA26LOUC171-H58/65-3</v>
      </c>
      <c r="B18" s="30" t="str">
        <f>'Muestras Tintas'!B123</f>
        <v>Carmenere</v>
      </c>
      <c r="C18" s="30" t="str">
        <f>'Muestras Tintas'!C123</f>
        <v>Maule</v>
      </c>
      <c r="D18" s="30" t="str">
        <f>'Muestras Tintas'!D123</f>
        <v>LOURDES</v>
      </c>
      <c r="E18" s="30">
        <f>'Muestras Tintas'!E123</f>
        <v>171</v>
      </c>
      <c r="F18" s="30" t="str">
        <f>'Muestras Tintas'!F123</f>
        <v>58/65</v>
      </c>
      <c r="G18" s="30"/>
      <c r="H18" s="30" t="str">
        <f>'Muestras Tintas'!G123</f>
        <v>3</v>
      </c>
      <c r="I18" s="41">
        <f>'Muestras Tintas'!H123</f>
        <v>46049</v>
      </c>
      <c r="J18" s="30">
        <f>'Muestras Tintas'!I123</f>
        <v>3.08</v>
      </c>
      <c r="K18" s="30">
        <f>'Muestras Tintas'!J123</f>
        <v>14.5</v>
      </c>
      <c r="L18" s="30">
        <f>'Muestras Tintas'!L123*0.49</f>
        <v>7.056</v>
      </c>
      <c r="M18" s="30">
        <f>'Muestras Tintas'!M123*1.53</f>
        <v>10.795680000000001</v>
      </c>
      <c r="N18" s="59">
        <f>'Muestras Tintas'!O123/200</f>
        <v>1.5483000000000002</v>
      </c>
      <c r="O18" s="68"/>
    </row>
    <row r="19" spans="1:15" x14ac:dyDescent="0.3">
      <c r="A19" s="29" t="str">
        <f>'Muestras Tintas'!A124</f>
        <v>CA26LOUC171-H58/65-4</v>
      </c>
      <c r="B19" s="30" t="str">
        <f>'Muestras Tintas'!B124</f>
        <v>Carmenere</v>
      </c>
      <c r="C19" s="30" t="str">
        <f>'Muestras Tintas'!C124</f>
        <v>Maule</v>
      </c>
      <c r="D19" s="30" t="str">
        <f>'Muestras Tintas'!D124</f>
        <v>LOURDES</v>
      </c>
      <c r="E19" s="30">
        <f>'Muestras Tintas'!E124</f>
        <v>171</v>
      </c>
      <c r="F19" s="30" t="str">
        <f>'Muestras Tintas'!F124</f>
        <v>58/65</v>
      </c>
      <c r="G19" s="30"/>
      <c r="H19" s="30" t="str">
        <f>'Muestras Tintas'!G124</f>
        <v>4</v>
      </c>
      <c r="I19" s="41">
        <f>'Muestras Tintas'!H124</f>
        <v>46056</v>
      </c>
      <c r="J19" s="30">
        <f>'Muestras Tintas'!I124</f>
        <v>3.24</v>
      </c>
      <c r="K19" s="30">
        <f>'Muestras Tintas'!J124</f>
        <v>16.2</v>
      </c>
      <c r="L19" s="30">
        <f>'Muestras Tintas'!L124*0.49</f>
        <v>5.1352000000000002</v>
      </c>
      <c r="M19" s="30">
        <f>'Muestras Tintas'!M124*1.53</f>
        <v>7.8568560000000005</v>
      </c>
      <c r="N19" s="59">
        <f>'Muestras Tintas'!O124/200</f>
        <v>1.7685499999999998</v>
      </c>
      <c r="O19" s="68"/>
    </row>
    <row r="20" spans="1:15" x14ac:dyDescent="0.3">
      <c r="A20" s="29" t="str">
        <f>'Muestras Tintas'!A125</f>
        <v>CA26LOUC171-H58/65-5</v>
      </c>
      <c r="B20" s="30" t="str">
        <f>'Muestras Tintas'!B125</f>
        <v>Carmenere</v>
      </c>
      <c r="C20" s="30" t="str">
        <f>'Muestras Tintas'!C125</f>
        <v>Maule</v>
      </c>
      <c r="D20" s="30" t="str">
        <f>'Muestras Tintas'!D125</f>
        <v>LOURDES</v>
      </c>
      <c r="E20" s="30">
        <f>'Muestras Tintas'!E125</f>
        <v>171</v>
      </c>
      <c r="F20" s="30" t="str">
        <f>'Muestras Tintas'!F125</f>
        <v>58/65</v>
      </c>
      <c r="G20" s="30"/>
      <c r="H20" s="30" t="str">
        <f>'Muestras Tintas'!G125</f>
        <v>5</v>
      </c>
      <c r="I20" s="41">
        <f>'Muestras Tintas'!H125</f>
        <v>46062</v>
      </c>
      <c r="J20" s="30">
        <f>'Muestras Tintas'!I125</f>
        <v>3.32</v>
      </c>
      <c r="K20" s="30">
        <f>'Muestras Tintas'!J125</f>
        <v>17.7</v>
      </c>
      <c r="L20" s="30">
        <f>'Muestras Tintas'!L125*0.49</f>
        <v>4.4295999999999998</v>
      </c>
      <c r="M20" s="30">
        <f>'Muestras Tintas'!M125*1.53</f>
        <v>6.7772879999999995</v>
      </c>
      <c r="N20" s="59">
        <f>'Muestras Tintas'!O125/200</f>
        <v>1.8045</v>
      </c>
      <c r="O20" s="68"/>
    </row>
    <row r="21" spans="1:15" x14ac:dyDescent="0.3">
      <c r="A21" s="29" t="str">
        <f>'Muestras Tintas'!A126</f>
        <v>CA26LOUC171-H58/65-6</v>
      </c>
      <c r="B21" s="30" t="str">
        <f>'Muestras Tintas'!B126</f>
        <v>Carmenere</v>
      </c>
      <c r="C21" s="30" t="str">
        <f>'Muestras Tintas'!C126</f>
        <v>Maule</v>
      </c>
      <c r="D21" s="30" t="str">
        <f>'Muestras Tintas'!D126</f>
        <v>LOURDES</v>
      </c>
      <c r="E21" s="30">
        <f>'Muestras Tintas'!E126</f>
        <v>171</v>
      </c>
      <c r="F21" s="30" t="str">
        <f>'Muestras Tintas'!F126</f>
        <v>58/65</v>
      </c>
      <c r="G21" s="30"/>
      <c r="H21" s="30" t="str">
        <f>'Muestras Tintas'!G126</f>
        <v>6</v>
      </c>
      <c r="I21" s="41">
        <f>'Muestras Tintas'!H126</f>
        <v>46069</v>
      </c>
      <c r="J21" s="30">
        <f>'Muestras Tintas'!I126</f>
        <v>3.32</v>
      </c>
      <c r="K21" s="30">
        <f>'Muestras Tintas'!J126</f>
        <v>19</v>
      </c>
      <c r="L21" s="30">
        <f>'Muestras Tintas'!L126*0.49</f>
        <v>4.0376000000000003</v>
      </c>
      <c r="M21" s="30">
        <f>'Muestras Tintas'!M126*1.53</f>
        <v>6.1775280000000006</v>
      </c>
      <c r="N21" s="59">
        <f>'Muestras Tintas'!O126/200</f>
        <v>1.9969999999999999</v>
      </c>
      <c r="O21" s="68"/>
    </row>
    <row r="22" spans="1:15" x14ac:dyDescent="0.3">
      <c r="A22" s="29" t="str">
        <f>'Muestras Tintas'!A127</f>
        <v>CA26LOUC171-H58/65-7</v>
      </c>
      <c r="B22" s="30" t="str">
        <f>'Muestras Tintas'!B127</f>
        <v>Carmenere</v>
      </c>
      <c r="C22" s="30" t="str">
        <f>'Muestras Tintas'!C127</f>
        <v>Maule</v>
      </c>
      <c r="D22" s="30" t="str">
        <f>'Muestras Tintas'!D127</f>
        <v>LOURDES</v>
      </c>
      <c r="E22" s="30">
        <f>'Muestras Tintas'!E127</f>
        <v>171</v>
      </c>
      <c r="F22" s="30" t="str">
        <f>'Muestras Tintas'!F127</f>
        <v>58/65</v>
      </c>
      <c r="G22" s="30"/>
      <c r="H22" s="30" t="str">
        <f>'Muestras Tintas'!G127</f>
        <v>7</v>
      </c>
      <c r="I22" s="41">
        <f>'Muestras Tintas'!H127</f>
        <v>46076</v>
      </c>
      <c r="J22" s="30">
        <f>'Muestras Tintas'!I127</f>
        <v>3.48</v>
      </c>
      <c r="K22" s="30">
        <f>'Muestras Tintas'!J127</f>
        <v>20.9</v>
      </c>
      <c r="L22" s="30">
        <f>'Muestras Tintas'!L127*0.49</f>
        <v>3.4397999999999995</v>
      </c>
      <c r="M22" s="30">
        <f>'Muestras Tintas'!M127*1.53</f>
        <v>5.2628939999999993</v>
      </c>
      <c r="N22" s="59">
        <f>'Muestras Tintas'!O127/200</f>
        <v>1.8159999999999998</v>
      </c>
      <c r="O22" s="68"/>
    </row>
    <row r="23" spans="1:15" x14ac:dyDescent="0.3">
      <c r="A23" s="29" t="str">
        <f>'Muestras Tintas'!A128</f>
        <v>CA26LOUC171-H58/65-8</v>
      </c>
      <c r="B23" s="30" t="str">
        <f>'Muestras Tintas'!B128</f>
        <v>Carmenere</v>
      </c>
      <c r="C23" s="30" t="str">
        <f>'Muestras Tintas'!C128</f>
        <v>Maule</v>
      </c>
      <c r="D23" s="30" t="str">
        <f>'Muestras Tintas'!D128</f>
        <v>LOURDES</v>
      </c>
      <c r="E23" s="30">
        <f>'Muestras Tintas'!E128</f>
        <v>171</v>
      </c>
      <c r="F23" s="30" t="str">
        <f>'Muestras Tintas'!F128</f>
        <v>58/65</v>
      </c>
      <c r="G23" s="30"/>
      <c r="H23" s="30" t="str">
        <f>'Muestras Tintas'!G128</f>
        <v>8</v>
      </c>
      <c r="I23" s="41">
        <f>'Muestras Tintas'!H128</f>
        <v>46084</v>
      </c>
      <c r="J23" s="30">
        <f>'Muestras Tintas'!I128</f>
        <v>3.5</v>
      </c>
      <c r="K23" s="30">
        <f>'Muestras Tintas'!J128</f>
        <v>21.6</v>
      </c>
      <c r="L23" s="30">
        <f>'Muestras Tintas'!L128*0.49</f>
        <v>3.1114999999999999</v>
      </c>
      <c r="M23" s="30">
        <f>'Muestras Tintas'!M128*1.53</f>
        <v>4.7605950000000004</v>
      </c>
      <c r="N23" s="59">
        <f>'Muestras Tintas'!O128/200</f>
        <v>2.0385</v>
      </c>
      <c r="O23" s="68">
        <v>1</v>
      </c>
    </row>
    <row r="24" spans="1:15" x14ac:dyDescent="0.3">
      <c r="A24" s="29" t="str">
        <f>'Muestras Tintas'!A129</f>
        <v>CA26LOUC171-H58/65-9</v>
      </c>
      <c r="B24" s="30" t="str">
        <f>'Muestras Tintas'!B129</f>
        <v>Carmenere</v>
      </c>
      <c r="C24" s="30" t="str">
        <f>'Muestras Tintas'!C129</f>
        <v>Maule</v>
      </c>
      <c r="D24" s="30" t="str">
        <f>'Muestras Tintas'!D129</f>
        <v>LOURDES</v>
      </c>
      <c r="E24" s="30">
        <f>'Muestras Tintas'!E129</f>
        <v>171</v>
      </c>
      <c r="F24" s="30" t="str">
        <f>'Muestras Tintas'!F129</f>
        <v>58/65</v>
      </c>
      <c r="G24" s="30"/>
      <c r="H24" s="30" t="str">
        <f>'Muestras Tintas'!G129</f>
        <v>9</v>
      </c>
      <c r="I24" s="41">
        <f>'Muestras Tintas'!H129</f>
        <v>46090</v>
      </c>
      <c r="J24" s="30">
        <f>'Muestras Tintas'!I129</f>
        <v>3.48</v>
      </c>
      <c r="K24" s="30">
        <f>'Muestras Tintas'!J129</f>
        <v>22.3</v>
      </c>
      <c r="L24" s="30">
        <f>'Muestras Tintas'!L129*0.49</f>
        <v>2.9448999999999996</v>
      </c>
      <c r="M24" s="30">
        <f>'Muestras Tintas'!M129*1.53</f>
        <v>4.5056969999999996</v>
      </c>
      <c r="N24" s="59">
        <f>'Muestras Tintas'!O129/200</f>
        <v>2.0340000000000003</v>
      </c>
      <c r="O24" s="68"/>
    </row>
    <row r="25" spans="1:15" x14ac:dyDescent="0.3">
      <c r="A25" s="29" t="str">
        <f>'Muestras Tintas'!A130</f>
        <v>CA26LOUC171-H58/65-10</v>
      </c>
      <c r="B25" s="30" t="str">
        <f>'Muestras Tintas'!B130</f>
        <v>Carmenere</v>
      </c>
      <c r="C25" s="30" t="str">
        <f>'Muestras Tintas'!C130</f>
        <v>Maule</v>
      </c>
      <c r="D25" s="30" t="str">
        <f>'Muestras Tintas'!D130</f>
        <v>LOURDES</v>
      </c>
      <c r="E25" s="30">
        <f>'Muestras Tintas'!E130</f>
        <v>171</v>
      </c>
      <c r="F25" s="30" t="str">
        <f>'Muestras Tintas'!F130</f>
        <v>58/65</v>
      </c>
      <c r="G25" s="30"/>
      <c r="H25" s="30">
        <f>'Muestras Tintas'!G130</f>
        <v>10</v>
      </c>
      <c r="I25" s="41">
        <f>'Muestras Tintas'!H130</f>
        <v>46097</v>
      </c>
      <c r="J25" s="30">
        <f>'Muestras Tintas'!I130</f>
        <v>3.55</v>
      </c>
      <c r="K25" s="30">
        <f>'Muestras Tintas'!J130</f>
        <v>22.6</v>
      </c>
      <c r="L25" s="30">
        <f>'Muestras Tintas'!L130*0.49</f>
        <v>2.8028</v>
      </c>
      <c r="M25" s="30">
        <f>'Muestras Tintas'!M130*1.53</f>
        <v>4.288284</v>
      </c>
      <c r="N25" s="59">
        <f>'Muestras Tintas'!O130/200</f>
        <v>1.919</v>
      </c>
      <c r="O25" s="68">
        <v>2</v>
      </c>
    </row>
    <row r="26" spans="1:15" x14ac:dyDescent="0.3">
      <c r="A26" s="29" t="str">
        <f>'Muestras Tintas'!A131</f>
        <v>CA26LOUC171-H58/65-11</v>
      </c>
      <c r="B26" s="30" t="str">
        <f>'Muestras Tintas'!B131</f>
        <v>Carmenere</v>
      </c>
      <c r="C26" s="30" t="str">
        <f>'Muestras Tintas'!C131</f>
        <v>Maule</v>
      </c>
      <c r="D26" s="30" t="str">
        <f>'Muestras Tintas'!D131</f>
        <v>LOURDES</v>
      </c>
      <c r="E26" s="30">
        <f>'Muestras Tintas'!E131</f>
        <v>171</v>
      </c>
      <c r="F26" s="30" t="str">
        <f>'Muestras Tintas'!F131</f>
        <v>58/65</v>
      </c>
      <c r="G26" s="30"/>
      <c r="H26" s="30">
        <f>'Muestras Tintas'!G131</f>
        <v>11</v>
      </c>
      <c r="I26" s="41">
        <f>'Muestras Tintas'!H131</f>
        <v>46104</v>
      </c>
      <c r="J26" s="30">
        <f>'Muestras Tintas'!I131</f>
        <v>3.59</v>
      </c>
      <c r="K26" s="30">
        <f>'Muestras Tintas'!J131</f>
        <v>23</v>
      </c>
      <c r="L26" s="30">
        <f>'Muestras Tintas'!L131*0.49</f>
        <v>3.1114999999999999</v>
      </c>
      <c r="M26" s="30">
        <f>'Muestras Tintas'!M131*1.53</f>
        <v>4.7605950000000004</v>
      </c>
      <c r="N26" s="59">
        <f>'Muestras Tintas'!O131/200</f>
        <v>1.9944999999999999</v>
      </c>
      <c r="O26" s="68"/>
    </row>
    <row r="27" spans="1:15" x14ac:dyDescent="0.3">
      <c r="A27" s="29" t="str">
        <f>'Muestras Tintas'!A132</f>
        <v>CA26LOUC171-H58/65-12</v>
      </c>
      <c r="B27" s="30" t="str">
        <f>'Muestras Tintas'!B132</f>
        <v>Carmenere</v>
      </c>
      <c r="C27" s="30" t="str">
        <f>'Muestras Tintas'!C132</f>
        <v>Maule</v>
      </c>
      <c r="D27" s="30" t="str">
        <f>'Muestras Tintas'!D132</f>
        <v>LOURDES</v>
      </c>
      <c r="E27" s="30">
        <f>'Muestras Tintas'!E132</f>
        <v>171</v>
      </c>
      <c r="F27" s="30" t="str">
        <f>'Muestras Tintas'!F132</f>
        <v>58/65</v>
      </c>
      <c r="G27" s="30"/>
      <c r="H27" s="30">
        <f>'Muestras Tintas'!G132</f>
        <v>12</v>
      </c>
      <c r="I27" s="41">
        <f>'Muestras Tintas'!H132</f>
        <v>46111</v>
      </c>
      <c r="J27" s="30">
        <f>'Muestras Tintas'!I132</f>
        <v>3.59</v>
      </c>
      <c r="K27" s="30">
        <f>'Muestras Tintas'!J132</f>
        <v>22.7</v>
      </c>
      <c r="L27" s="30">
        <f>'Muestras Tintas'!L132*0.49</f>
        <v>2.6705000000000001</v>
      </c>
      <c r="M27" s="30">
        <f>'Muestras Tintas'!M132*1.53</f>
        <v>4.0858650000000001</v>
      </c>
      <c r="N27" s="59">
        <f>'Muestras Tintas'!O132/200</f>
        <v>2.0314999999999999</v>
      </c>
      <c r="O27" s="68"/>
    </row>
    <row r="28" spans="1:15" x14ac:dyDescent="0.3">
      <c r="A28" s="31" t="str">
        <f>'Muestras Tintas'!A133</f>
        <v>CA26LOUC171-H58/65-13</v>
      </c>
      <c r="B28" s="32" t="str">
        <f>'Muestras Tintas'!B133</f>
        <v>Carmenere</v>
      </c>
      <c r="C28" s="32" t="str">
        <f>'Muestras Tintas'!C133</f>
        <v>Maule</v>
      </c>
      <c r="D28" s="32" t="str">
        <f>'Muestras Tintas'!D133</f>
        <v>LOURDES</v>
      </c>
      <c r="E28" s="32">
        <f>'Muestras Tintas'!E133</f>
        <v>171</v>
      </c>
      <c r="F28" s="32" t="str">
        <f>'Muestras Tintas'!F133</f>
        <v>58/65</v>
      </c>
      <c r="G28" s="32"/>
      <c r="H28" s="32">
        <f>'Muestras Tintas'!G133</f>
        <v>13</v>
      </c>
      <c r="I28" s="54">
        <f>'Muestras Tintas'!H133</f>
        <v>46118</v>
      </c>
      <c r="J28" s="32">
        <f>'Muestras Tintas'!I133</f>
        <v>3.62</v>
      </c>
      <c r="K28" s="32">
        <f>'Muestras Tintas'!J133</f>
        <v>24.7</v>
      </c>
      <c r="L28" s="32">
        <f>'Muestras Tintas'!L133*0.49</f>
        <v>2.5284</v>
      </c>
      <c r="M28" s="32">
        <f>'Muestras Tintas'!M133*1.53</f>
        <v>0</v>
      </c>
      <c r="N28" s="60">
        <f>'Muestras Tintas'!O133/200</f>
        <v>1.8825000000000001</v>
      </c>
      <c r="O28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C652-CC13-4C56-81F4-FB846655CB55}">
  <sheetPr codeName="Hoja9"/>
  <dimension ref="A2:N29"/>
  <sheetViews>
    <sheetView workbookViewId="0">
      <selection activeCell="G27" sqref="G27"/>
    </sheetView>
  </sheetViews>
  <sheetFormatPr baseColWidth="10" defaultColWidth="8.88671875" defaultRowHeight="14.4" x14ac:dyDescent="0.3"/>
  <cols>
    <col min="1" max="1" width="18.6640625" bestFit="1" customWidth="1"/>
    <col min="2" max="2" width="10.6640625" bestFit="1" customWidth="1"/>
    <col min="4" max="4" width="14.10937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45" t="s">
        <v>308</v>
      </c>
      <c r="B4" s="46" t="s">
        <v>51</v>
      </c>
      <c r="C4" s="46" t="s">
        <v>20</v>
      </c>
      <c r="D4" s="46" t="s">
        <v>52</v>
      </c>
      <c r="E4" s="46">
        <v>1</v>
      </c>
      <c r="F4" s="46" t="s">
        <v>53</v>
      </c>
      <c r="G4" s="46" t="s">
        <v>309</v>
      </c>
      <c r="H4" s="46">
        <v>1</v>
      </c>
      <c r="I4" s="47">
        <v>45708</v>
      </c>
      <c r="J4" s="46">
        <v>3.24</v>
      </c>
      <c r="K4" s="46">
        <v>17.899999999999999</v>
      </c>
      <c r="L4" s="46">
        <v>6.5224000000000002</v>
      </c>
      <c r="M4" s="46">
        <v>6.5224000000000002</v>
      </c>
      <c r="N4" s="48">
        <v>1.68</v>
      </c>
    </row>
    <row r="5" spans="1:14" x14ac:dyDescent="0.3">
      <c r="A5" s="49" t="s">
        <v>310</v>
      </c>
      <c r="B5" s="42" t="s">
        <v>51</v>
      </c>
      <c r="C5" s="42" t="s">
        <v>20</v>
      </c>
      <c r="D5" s="42" t="s">
        <v>52</v>
      </c>
      <c r="E5" s="42">
        <v>1</v>
      </c>
      <c r="F5" s="42" t="s">
        <v>53</v>
      </c>
      <c r="G5" s="42"/>
      <c r="H5" s="42">
        <v>2</v>
      </c>
      <c r="I5" s="41">
        <v>45715</v>
      </c>
      <c r="J5" s="42">
        <v>3.3</v>
      </c>
      <c r="K5" s="42">
        <v>19.7</v>
      </c>
      <c r="L5" s="42">
        <v>5.9626000000000001</v>
      </c>
      <c r="M5" s="42">
        <v>5.9626000000000001</v>
      </c>
      <c r="N5" s="50">
        <v>1.61</v>
      </c>
    </row>
    <row r="6" spans="1:14" x14ac:dyDescent="0.3">
      <c r="A6" s="49" t="s">
        <v>311</v>
      </c>
      <c r="B6" s="42" t="s">
        <v>51</v>
      </c>
      <c r="C6" s="42" t="s">
        <v>20</v>
      </c>
      <c r="D6" s="42" t="s">
        <v>52</v>
      </c>
      <c r="E6" s="42">
        <v>1</v>
      </c>
      <c r="F6" s="42" t="s">
        <v>53</v>
      </c>
      <c r="G6" s="42"/>
      <c r="H6" s="42">
        <v>3</v>
      </c>
      <c r="I6" s="41">
        <v>45721</v>
      </c>
      <c r="J6" s="42">
        <v>3.45</v>
      </c>
      <c r="K6" s="42">
        <v>20.8</v>
      </c>
      <c r="L6" s="42">
        <v>5.2179000000000002</v>
      </c>
      <c r="M6" s="42">
        <v>5.2179000000000002</v>
      </c>
      <c r="N6" s="50">
        <v>1.9</v>
      </c>
    </row>
    <row r="7" spans="1:14" x14ac:dyDescent="0.3">
      <c r="A7" s="49" t="s">
        <v>312</v>
      </c>
      <c r="B7" s="42" t="s">
        <v>51</v>
      </c>
      <c r="C7" s="42" t="s">
        <v>20</v>
      </c>
      <c r="D7" s="42" t="s">
        <v>52</v>
      </c>
      <c r="E7" s="42">
        <v>1</v>
      </c>
      <c r="F7" s="42" t="s">
        <v>53</v>
      </c>
      <c r="G7" s="43">
        <v>45726</v>
      </c>
      <c r="H7" s="42">
        <v>4</v>
      </c>
      <c r="I7" s="41">
        <v>45726</v>
      </c>
      <c r="J7" s="42">
        <v>3.5</v>
      </c>
      <c r="K7" s="42">
        <v>20.9</v>
      </c>
      <c r="L7" s="42">
        <v>4.7081</v>
      </c>
      <c r="M7" s="42">
        <v>4.7081</v>
      </c>
      <c r="N7" s="50">
        <v>1.66</v>
      </c>
    </row>
    <row r="8" spans="1:14" x14ac:dyDescent="0.3">
      <c r="A8" s="49" t="s">
        <v>313</v>
      </c>
      <c r="B8" s="42" t="s">
        <v>51</v>
      </c>
      <c r="C8" s="42" t="s">
        <v>20</v>
      </c>
      <c r="D8" s="42" t="s">
        <v>52</v>
      </c>
      <c r="E8" s="42">
        <v>1</v>
      </c>
      <c r="F8" s="42" t="s">
        <v>53</v>
      </c>
      <c r="G8" s="44">
        <v>45733</v>
      </c>
      <c r="H8" s="42">
        <v>5</v>
      </c>
      <c r="I8" s="41">
        <v>45733</v>
      </c>
      <c r="J8" s="42">
        <v>3.6</v>
      </c>
      <c r="K8" s="42">
        <v>21.6</v>
      </c>
      <c r="L8" s="42">
        <v>4.6481000000000003</v>
      </c>
      <c r="M8" s="42">
        <v>4.6481000000000003</v>
      </c>
      <c r="N8" s="50">
        <v>2.1800000000000002</v>
      </c>
    </row>
    <row r="9" spans="1:14" x14ac:dyDescent="0.3">
      <c r="A9" s="49" t="s">
        <v>314</v>
      </c>
      <c r="B9" s="42" t="s">
        <v>51</v>
      </c>
      <c r="C9" s="42" t="s">
        <v>20</v>
      </c>
      <c r="D9" s="42" t="s">
        <v>52</v>
      </c>
      <c r="E9" s="42">
        <v>1</v>
      </c>
      <c r="F9" s="42" t="s">
        <v>53</v>
      </c>
      <c r="G9" s="42"/>
      <c r="H9" s="42">
        <v>6</v>
      </c>
      <c r="I9" s="41">
        <v>45740</v>
      </c>
      <c r="J9" s="42">
        <v>3.65</v>
      </c>
      <c r="K9" s="42">
        <v>21.7</v>
      </c>
      <c r="L9" s="42">
        <v>4.6106999999999996</v>
      </c>
      <c r="M9" s="42">
        <v>4.6106999999999996</v>
      </c>
      <c r="N9" s="50">
        <v>1.86</v>
      </c>
    </row>
    <row r="10" spans="1:14" x14ac:dyDescent="0.3">
      <c r="A10" s="49" t="s">
        <v>315</v>
      </c>
      <c r="B10" s="42" t="s">
        <v>51</v>
      </c>
      <c r="C10" s="42" t="s">
        <v>20</v>
      </c>
      <c r="D10" s="42" t="s">
        <v>52</v>
      </c>
      <c r="E10" s="42">
        <v>1</v>
      </c>
      <c r="F10" s="42" t="s">
        <v>53</v>
      </c>
      <c r="G10" s="43">
        <v>45754</v>
      </c>
      <c r="H10" s="42">
        <v>7</v>
      </c>
      <c r="I10" s="41">
        <v>45754</v>
      </c>
      <c r="J10" s="42">
        <v>3.64</v>
      </c>
      <c r="K10" s="42">
        <v>23.4</v>
      </c>
      <c r="L10" s="42">
        <v>4.4607000000000001</v>
      </c>
      <c r="M10" s="42">
        <v>4.4607000000000001</v>
      </c>
      <c r="N10" s="50">
        <v>2.21</v>
      </c>
    </row>
    <row r="11" spans="1:14" x14ac:dyDescent="0.3">
      <c r="A11" s="49" t="s">
        <v>316</v>
      </c>
      <c r="B11" s="42" t="s">
        <v>51</v>
      </c>
      <c r="C11" s="42" t="s">
        <v>20</v>
      </c>
      <c r="D11" s="42" t="s">
        <v>52</v>
      </c>
      <c r="E11" s="42">
        <v>1</v>
      </c>
      <c r="F11" s="42" t="s">
        <v>53</v>
      </c>
      <c r="G11" s="44">
        <v>45761</v>
      </c>
      <c r="H11" s="42">
        <v>8</v>
      </c>
      <c r="I11" s="41">
        <v>45761</v>
      </c>
      <c r="J11" s="42">
        <v>3.75</v>
      </c>
      <c r="K11" s="42">
        <v>24</v>
      </c>
      <c r="L11" s="42">
        <v>4.2207999999999997</v>
      </c>
      <c r="M11" s="42">
        <v>4.2207999999999997</v>
      </c>
      <c r="N11" s="50">
        <v>1.99</v>
      </c>
    </row>
    <row r="12" spans="1:14" x14ac:dyDescent="0.3">
      <c r="A12" s="49" t="s">
        <v>317</v>
      </c>
      <c r="B12" s="42" t="s">
        <v>51</v>
      </c>
      <c r="C12" s="42" t="s">
        <v>20</v>
      </c>
      <c r="D12" s="42" t="s">
        <v>52</v>
      </c>
      <c r="E12" s="42">
        <v>1</v>
      </c>
      <c r="F12" s="42" t="s">
        <v>53</v>
      </c>
      <c r="G12" s="43">
        <v>45769</v>
      </c>
      <c r="H12" s="42">
        <v>9</v>
      </c>
      <c r="I12" s="41">
        <v>45769</v>
      </c>
      <c r="J12" s="42">
        <v>3.73</v>
      </c>
      <c r="K12" s="42">
        <v>24.1</v>
      </c>
      <c r="L12" s="42">
        <v>4.1532999999999998</v>
      </c>
      <c r="M12" s="42">
        <v>4.1532999999999998</v>
      </c>
      <c r="N12" s="50">
        <v>2.1</v>
      </c>
    </row>
    <row r="13" spans="1:14" x14ac:dyDescent="0.3">
      <c r="A13" s="51" t="s">
        <v>318</v>
      </c>
      <c r="B13" s="52" t="s">
        <v>51</v>
      </c>
      <c r="C13" s="52" t="s">
        <v>20</v>
      </c>
      <c r="D13" s="52" t="s">
        <v>52</v>
      </c>
      <c r="E13" s="52">
        <v>1</v>
      </c>
      <c r="F13" s="52" t="s">
        <v>53</v>
      </c>
      <c r="G13" s="53">
        <v>45782</v>
      </c>
      <c r="H13" s="52">
        <v>10</v>
      </c>
      <c r="I13" s="54">
        <v>45782</v>
      </c>
      <c r="J13" s="52">
        <v>3.78</v>
      </c>
      <c r="K13" s="52">
        <v>24.8</v>
      </c>
      <c r="L13" s="52">
        <v>4.1234000000000002</v>
      </c>
      <c r="M13" s="52">
        <v>4.1234000000000002</v>
      </c>
      <c r="N13" s="55">
        <v>2.11</v>
      </c>
    </row>
    <row r="15" spans="1:14" x14ac:dyDescent="0.3">
      <c r="A15" s="23">
        <v>2026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"/>
    </row>
    <row r="16" spans="1:14" x14ac:dyDescent="0.3">
      <c r="A16" s="37" t="s">
        <v>0</v>
      </c>
      <c r="B16" s="26" t="s">
        <v>1</v>
      </c>
      <c r="C16" s="26" t="s">
        <v>225</v>
      </c>
      <c r="D16" s="26" t="s">
        <v>3</v>
      </c>
      <c r="E16" s="26" t="s">
        <v>4</v>
      </c>
      <c r="F16" s="26" t="s">
        <v>5</v>
      </c>
      <c r="G16" s="26" t="s">
        <v>226</v>
      </c>
      <c r="H16" s="26" t="s">
        <v>227</v>
      </c>
      <c r="I16" s="26" t="s">
        <v>228</v>
      </c>
      <c r="J16" s="26" t="s">
        <v>8</v>
      </c>
      <c r="K16" s="38" t="s">
        <v>9</v>
      </c>
      <c r="L16" s="26" t="s">
        <v>12</v>
      </c>
      <c r="M16" s="7" t="s">
        <v>13</v>
      </c>
      <c r="N16" s="39" t="s">
        <v>16</v>
      </c>
    </row>
    <row r="17" spans="1:14" x14ac:dyDescent="0.3">
      <c r="A17" s="27" t="str">
        <f>'Muestras Tintas'!A16</f>
        <v>CA26QMAC1-SH-1</v>
      </c>
      <c r="B17" s="28" t="str">
        <f>'Muestras Tintas'!B16</f>
        <v>Carmenere</v>
      </c>
      <c r="C17" s="28" t="str">
        <f>'Muestras Tintas'!C16</f>
        <v>Maipo</v>
      </c>
      <c r="D17" s="28" t="str">
        <f>'Muestras Tintas'!D16</f>
        <v>QUINTA MAIPO</v>
      </c>
      <c r="E17" s="28">
        <f>'Muestras Tintas'!E16</f>
        <v>1</v>
      </c>
      <c r="F17" s="28" t="str">
        <f>'Muestras Tintas'!F16</f>
        <v>SH</v>
      </c>
      <c r="G17" s="28"/>
      <c r="H17" s="28" t="str">
        <f>'Muestras Tintas'!G16</f>
        <v>1</v>
      </c>
      <c r="I17" s="47">
        <f>'Muestras Tintas'!H16</f>
        <v>46042</v>
      </c>
      <c r="J17" s="28">
        <f>'Muestras Tintas'!I16</f>
        <v>2.86</v>
      </c>
      <c r="K17" s="28">
        <f>'Muestras Tintas'!J16</f>
        <v>14.4</v>
      </c>
      <c r="L17" s="28">
        <f>'Muestras Tintas'!L16*0.49</f>
        <v>11.6914</v>
      </c>
      <c r="M17" s="28">
        <f>'Muestras Tintas'!M16*1.53</f>
        <v>17.887841999999999</v>
      </c>
      <c r="N17" s="58">
        <f>'Muestras Tintas'!O16/200</f>
        <v>0.99065000000000003</v>
      </c>
    </row>
    <row r="18" spans="1:14" x14ac:dyDescent="0.3">
      <c r="A18" s="29" t="str">
        <f>'Muestras Tintas'!A17</f>
        <v>CA26QMAC1-SH-2</v>
      </c>
      <c r="B18" s="30" t="str">
        <f>'Muestras Tintas'!B17</f>
        <v>Carmenere</v>
      </c>
      <c r="C18" s="30" t="str">
        <f>'Muestras Tintas'!C17</f>
        <v>Maipo</v>
      </c>
      <c r="D18" s="30" t="str">
        <f>'Muestras Tintas'!D17</f>
        <v>QUINTA MAIPO</v>
      </c>
      <c r="E18" s="30">
        <f>'Muestras Tintas'!E17</f>
        <v>1</v>
      </c>
      <c r="F18" s="30" t="str">
        <f>'Muestras Tintas'!F17</f>
        <v>SH</v>
      </c>
      <c r="G18" s="30"/>
      <c r="H18" s="30" t="str">
        <f>'Muestras Tintas'!G17</f>
        <v>2</v>
      </c>
      <c r="I18" s="41">
        <f>'Muestras Tintas'!H17</f>
        <v>46048</v>
      </c>
      <c r="J18" s="30">
        <f>'Muestras Tintas'!I17</f>
        <v>3.05</v>
      </c>
      <c r="K18" s="30">
        <f>'Muestras Tintas'!J17</f>
        <v>15.2</v>
      </c>
      <c r="L18" s="30">
        <f>'Muestras Tintas'!L17*0.49</f>
        <v>8.5554000000000006</v>
      </c>
      <c r="M18" s="30">
        <f>'Muestras Tintas'!M17*1.53</f>
        <v>13.089762</v>
      </c>
      <c r="N18" s="59">
        <f>'Muestras Tintas'!O17/200</f>
        <v>1.06795</v>
      </c>
    </row>
    <row r="19" spans="1:14" x14ac:dyDescent="0.3">
      <c r="A19" s="29" t="str">
        <f>'Muestras Tintas'!A18</f>
        <v>CA26QMAC1-SH-3</v>
      </c>
      <c r="B19" s="30" t="str">
        <f>'Muestras Tintas'!B18</f>
        <v>Carmenere</v>
      </c>
      <c r="C19" s="30" t="str">
        <f>'Muestras Tintas'!C18</f>
        <v>Maipo</v>
      </c>
      <c r="D19" s="30" t="str">
        <f>'Muestras Tintas'!D18</f>
        <v>QUINTA MAIPO</v>
      </c>
      <c r="E19" s="30">
        <f>'Muestras Tintas'!E18</f>
        <v>1</v>
      </c>
      <c r="F19" s="30" t="str">
        <f>'Muestras Tintas'!F18</f>
        <v>SH</v>
      </c>
      <c r="G19" s="30"/>
      <c r="H19" s="30" t="str">
        <f>'Muestras Tintas'!G18</f>
        <v>3</v>
      </c>
      <c r="I19" s="41">
        <f>'Muestras Tintas'!H18</f>
        <v>46055</v>
      </c>
      <c r="J19" s="30">
        <f>'Muestras Tintas'!I18</f>
        <v>3.07</v>
      </c>
      <c r="K19" s="30">
        <f>'Muestras Tintas'!J18</f>
        <v>16.8</v>
      </c>
      <c r="L19" s="30">
        <f>'Muestras Tintas'!L18*0.49</f>
        <v>6.5855999999999995</v>
      </c>
      <c r="M19" s="30">
        <f>'Muestras Tintas'!M18*1.53</f>
        <v>10.075968</v>
      </c>
      <c r="N19" s="59">
        <f>'Muestras Tintas'!O18/200</f>
        <v>1.1821999999999999</v>
      </c>
    </row>
    <row r="20" spans="1:14" x14ac:dyDescent="0.3">
      <c r="A20" s="29" t="str">
        <f>'Muestras Tintas'!A19</f>
        <v>CA26QMAC1-SH-4</v>
      </c>
      <c r="B20" s="30" t="str">
        <f>'Muestras Tintas'!B19</f>
        <v>Carmenere</v>
      </c>
      <c r="C20" s="30" t="str">
        <f>'Muestras Tintas'!C19</f>
        <v>Maipo</v>
      </c>
      <c r="D20" s="30" t="str">
        <f>'Muestras Tintas'!D19</f>
        <v>QUINTA MAIPO</v>
      </c>
      <c r="E20" s="30">
        <f>'Muestras Tintas'!E19</f>
        <v>1</v>
      </c>
      <c r="F20" s="30" t="str">
        <f>'Muestras Tintas'!F19</f>
        <v>SH</v>
      </c>
      <c r="G20" s="30"/>
      <c r="H20" s="30" t="str">
        <f>'Muestras Tintas'!G19</f>
        <v>4</v>
      </c>
      <c r="I20" s="41">
        <f>'Muestras Tintas'!H19</f>
        <v>46062</v>
      </c>
      <c r="J20" s="30">
        <f>'Muestras Tintas'!I19</f>
        <v>3.27</v>
      </c>
      <c r="K20" s="30">
        <f>'Muestras Tintas'!J19</f>
        <v>18</v>
      </c>
      <c r="L20" s="30">
        <f>'Muestras Tintas'!L19*0.49</f>
        <v>4.8705999999999996</v>
      </c>
      <c r="M20" s="30">
        <f>'Muestras Tintas'!M19*1.53</f>
        <v>7.4520179999999998</v>
      </c>
      <c r="N20" s="59">
        <f>'Muestras Tintas'!O19/200</f>
        <v>1.2165000000000001</v>
      </c>
    </row>
    <row r="21" spans="1:14" x14ac:dyDescent="0.3">
      <c r="A21" s="29" t="str">
        <f>'Muestras Tintas'!A20</f>
        <v>CA26QMAC1-SH-5</v>
      </c>
      <c r="B21" s="30" t="str">
        <f>'Muestras Tintas'!B20</f>
        <v>Carmenere</v>
      </c>
      <c r="C21" s="30" t="str">
        <f>'Muestras Tintas'!C20</f>
        <v>Maipo</v>
      </c>
      <c r="D21" s="30" t="str">
        <f>'Muestras Tintas'!D20</f>
        <v>QUINTA MAIPO</v>
      </c>
      <c r="E21" s="30">
        <f>'Muestras Tintas'!E20</f>
        <v>1</v>
      </c>
      <c r="F21" s="30" t="str">
        <f>'Muestras Tintas'!F20</f>
        <v>SH</v>
      </c>
      <c r="G21" s="30"/>
      <c r="H21" s="30" t="str">
        <f>'Muestras Tintas'!G20</f>
        <v>5</v>
      </c>
      <c r="I21" s="41">
        <f>'Muestras Tintas'!H20</f>
        <v>46069</v>
      </c>
      <c r="J21" s="30">
        <f>'Muestras Tintas'!I20</f>
        <v>3.31</v>
      </c>
      <c r="K21" s="30">
        <f>'Muestras Tintas'!J20</f>
        <v>20.399999999999999</v>
      </c>
      <c r="L21" s="30">
        <f>'Muestras Tintas'!L20*0.49</f>
        <v>4.3708</v>
      </c>
      <c r="M21" s="30">
        <f>'Muestras Tintas'!M20*1.53</f>
        <v>6.6873240000000003</v>
      </c>
      <c r="N21" s="59">
        <f>'Muestras Tintas'!O20/200</f>
        <v>1.2030000000000001</v>
      </c>
    </row>
    <row r="22" spans="1:14" x14ac:dyDescent="0.3">
      <c r="A22" s="29" t="str">
        <f>'Muestras Tintas'!A21</f>
        <v>CA26QMAC1-SH-6</v>
      </c>
      <c r="B22" s="30" t="str">
        <f>'Muestras Tintas'!B21</f>
        <v>Carmenere</v>
      </c>
      <c r="C22" s="30" t="str">
        <f>'Muestras Tintas'!C21</f>
        <v>Maipo</v>
      </c>
      <c r="D22" s="30" t="str">
        <f>'Muestras Tintas'!D21</f>
        <v>QUINTA MAIPO</v>
      </c>
      <c r="E22" s="30">
        <f>'Muestras Tintas'!E21</f>
        <v>1</v>
      </c>
      <c r="F22" s="30" t="str">
        <f>'Muestras Tintas'!F21</f>
        <v>SH</v>
      </c>
      <c r="G22" s="30"/>
      <c r="H22" s="30" t="str">
        <f>'Muestras Tintas'!G21</f>
        <v>6</v>
      </c>
      <c r="I22" s="41">
        <f>'Muestras Tintas'!H21</f>
        <v>46076</v>
      </c>
      <c r="J22" s="30">
        <f>'Muestras Tintas'!I21</f>
        <v>3.45</v>
      </c>
      <c r="K22" s="30">
        <f>'Muestras Tintas'!J21</f>
        <v>21.4</v>
      </c>
      <c r="L22" s="30">
        <f>'Muestras Tintas'!L21*0.49</f>
        <v>3.3810000000000002</v>
      </c>
      <c r="M22" s="30">
        <f>'Muestras Tintas'!M21*1.53</f>
        <v>5.17293</v>
      </c>
      <c r="N22" s="59">
        <f>'Muestras Tintas'!O21/200</f>
        <v>1.1915</v>
      </c>
    </row>
    <row r="23" spans="1:14" x14ac:dyDescent="0.3">
      <c r="A23" s="29" t="str">
        <f>'Muestras Tintas'!A22</f>
        <v>CA26QMAC1-SH-7</v>
      </c>
      <c r="B23" s="30" t="str">
        <f>'Muestras Tintas'!B22</f>
        <v>Carmenere</v>
      </c>
      <c r="C23" s="30" t="str">
        <f>'Muestras Tintas'!C22</f>
        <v>Maipo</v>
      </c>
      <c r="D23" s="30" t="str">
        <f>'Muestras Tintas'!D22</f>
        <v>QUINTA MAIPO</v>
      </c>
      <c r="E23" s="30">
        <f>'Muestras Tintas'!E22</f>
        <v>1</v>
      </c>
      <c r="F23" s="30" t="str">
        <f>'Muestras Tintas'!F22</f>
        <v>SH</v>
      </c>
      <c r="G23" s="30"/>
      <c r="H23" s="30" t="str">
        <f>'Muestras Tintas'!G22</f>
        <v>7</v>
      </c>
      <c r="I23" s="41">
        <f>'Muestras Tintas'!H22</f>
        <v>46083</v>
      </c>
      <c r="J23" s="30">
        <f>'Muestras Tintas'!I22</f>
        <v>3.5</v>
      </c>
      <c r="K23" s="30">
        <f>'Muestras Tintas'!J22</f>
        <v>22.2</v>
      </c>
      <c r="L23" s="30">
        <f>'Muestras Tintas'!L22*0.49</f>
        <v>3.1604999999999999</v>
      </c>
      <c r="M23" s="30">
        <f>'Muestras Tintas'!M22*1.53</f>
        <v>4.8355649999999999</v>
      </c>
      <c r="N23" s="59">
        <f>'Muestras Tintas'!O22/200</f>
        <v>1.129</v>
      </c>
    </row>
    <row r="24" spans="1:14" x14ac:dyDescent="0.3">
      <c r="A24" s="29" t="str">
        <f>'Muestras Tintas'!A23</f>
        <v>CA26QMAC1-SH-8</v>
      </c>
      <c r="B24" s="30" t="str">
        <f>'Muestras Tintas'!B23</f>
        <v>Carmenere</v>
      </c>
      <c r="C24" s="30" t="str">
        <f>'Muestras Tintas'!C23</f>
        <v>Maipo</v>
      </c>
      <c r="D24" s="30" t="str">
        <f>'Muestras Tintas'!D23</f>
        <v>QUINTA MAIPO</v>
      </c>
      <c r="E24" s="30">
        <f>'Muestras Tintas'!E23</f>
        <v>1</v>
      </c>
      <c r="F24" s="30" t="str">
        <f>'Muestras Tintas'!F23</f>
        <v>SH</v>
      </c>
      <c r="G24" s="30"/>
      <c r="H24" s="30" t="str">
        <f>'Muestras Tintas'!G23</f>
        <v>8</v>
      </c>
      <c r="I24" s="41">
        <f>'Muestras Tintas'!H23</f>
        <v>46090</v>
      </c>
      <c r="J24" s="30">
        <f>'Muestras Tintas'!I23</f>
        <v>3.56</v>
      </c>
      <c r="K24" s="30">
        <f>'Muestras Tintas'!J23</f>
        <v>23</v>
      </c>
      <c r="L24" s="30">
        <f>'Muestras Tintas'!L23*0.49</f>
        <v>2.8224</v>
      </c>
      <c r="M24" s="30">
        <f>'Muestras Tintas'!M23*1.53</f>
        <v>4.3182720000000003</v>
      </c>
      <c r="N24" s="59">
        <f>'Muestras Tintas'!O23/200</f>
        <v>1.2994999999999999</v>
      </c>
    </row>
    <row r="25" spans="1:14" x14ac:dyDescent="0.3">
      <c r="A25" s="29" t="str">
        <f>'Muestras Tintas'!A24</f>
        <v>CA26QMAC1-SH-9</v>
      </c>
      <c r="B25" s="30" t="str">
        <f>'Muestras Tintas'!B24</f>
        <v>Carmenere</v>
      </c>
      <c r="C25" s="30" t="str">
        <f>'Muestras Tintas'!C24</f>
        <v>Maipo</v>
      </c>
      <c r="D25" s="30" t="str">
        <f>'Muestras Tintas'!D24</f>
        <v>QUINTA MAIPO</v>
      </c>
      <c r="E25" s="30">
        <f>'Muestras Tintas'!E24</f>
        <v>1</v>
      </c>
      <c r="F25" s="30" t="str">
        <f>'Muestras Tintas'!F24</f>
        <v>SH</v>
      </c>
      <c r="G25" s="30"/>
      <c r="H25" s="30" t="str">
        <f>'Muestras Tintas'!G24</f>
        <v>9</v>
      </c>
      <c r="I25" s="41">
        <f>'Muestras Tintas'!H24</f>
        <v>46097</v>
      </c>
      <c r="J25" s="30">
        <f>'Muestras Tintas'!I24</f>
        <v>3.63</v>
      </c>
      <c r="K25" s="30">
        <f>'Muestras Tintas'!J24</f>
        <v>23.5</v>
      </c>
      <c r="L25" s="30">
        <f>'Muestras Tintas'!L24*0.49</f>
        <v>2.4941</v>
      </c>
      <c r="M25" s="30">
        <f>'Muestras Tintas'!M24*1.53</f>
        <v>3.8159730000000001</v>
      </c>
      <c r="N25" s="59">
        <f>'Muestras Tintas'!O24/200</f>
        <v>1.3694999999999999</v>
      </c>
    </row>
    <row r="26" spans="1:14" x14ac:dyDescent="0.3">
      <c r="A26" s="29" t="str">
        <f>'Muestras Tintas'!A25</f>
        <v>CA26QMAC1-SH-10</v>
      </c>
      <c r="B26" s="30" t="str">
        <f>'Muestras Tintas'!B25</f>
        <v>Carmenere</v>
      </c>
      <c r="C26" s="30" t="str">
        <f>'Muestras Tintas'!C25</f>
        <v>Maipo</v>
      </c>
      <c r="D26" s="30" t="str">
        <f>'Muestras Tintas'!D25</f>
        <v>QUINTA MAIPO</v>
      </c>
      <c r="E26" s="30">
        <f>'Muestras Tintas'!E25</f>
        <v>1</v>
      </c>
      <c r="F26" s="30" t="str">
        <f>'Muestras Tintas'!F25</f>
        <v>SH</v>
      </c>
      <c r="G26" s="30"/>
      <c r="H26" s="30">
        <f>'Muestras Tintas'!G25</f>
        <v>10</v>
      </c>
      <c r="I26" s="41">
        <f>'Muestras Tintas'!H25</f>
        <v>46104</v>
      </c>
      <c r="J26" s="30">
        <f>'Muestras Tintas'!I25</f>
        <v>3.67</v>
      </c>
      <c r="K26" s="30">
        <f>'Muestras Tintas'!J25</f>
        <v>23.4</v>
      </c>
      <c r="L26" s="30">
        <f>'Muestras Tintas'!L25*0.49</f>
        <v>2.4695999999999998</v>
      </c>
      <c r="M26" s="30">
        <f>'Muestras Tintas'!M25*1.53</f>
        <v>3.7784879999999998</v>
      </c>
      <c r="N26" s="59">
        <f>'Muestras Tintas'!O25/200</f>
        <v>1.2934999999999999</v>
      </c>
    </row>
    <row r="27" spans="1:14" x14ac:dyDescent="0.3">
      <c r="A27" s="29" t="str">
        <f>'Muestras Tintas'!A26</f>
        <v>CA26QMAC1-SH-11</v>
      </c>
      <c r="B27" s="30" t="str">
        <f>'Muestras Tintas'!B26</f>
        <v>Carmenere</v>
      </c>
      <c r="C27" s="30" t="str">
        <f>'Muestras Tintas'!C26</f>
        <v>Maipo</v>
      </c>
      <c r="D27" s="30" t="str">
        <f>'Muestras Tintas'!D26</f>
        <v>QUINTA MAIPO</v>
      </c>
      <c r="E27" s="30">
        <f>'Muestras Tintas'!E26</f>
        <v>1</v>
      </c>
      <c r="F27" s="30" t="str">
        <f>'Muestras Tintas'!F26</f>
        <v>SH</v>
      </c>
      <c r="G27" s="30"/>
      <c r="H27" s="30">
        <f>'Muestras Tintas'!G26</f>
        <v>11</v>
      </c>
      <c r="I27" s="41">
        <f>'Muestras Tintas'!H26</f>
        <v>46111</v>
      </c>
      <c r="J27" s="30">
        <f>'Muestras Tintas'!I26</f>
        <v>3.75</v>
      </c>
      <c r="K27" s="30">
        <f>'Muestras Tintas'!J26</f>
        <v>23.4</v>
      </c>
      <c r="L27" s="30">
        <f>'Muestras Tintas'!L26*0.49</f>
        <v>2.254</v>
      </c>
      <c r="M27" s="30">
        <f>'Muestras Tintas'!M26*1.53</f>
        <v>3.44862</v>
      </c>
      <c r="N27" s="59">
        <f>'Muestras Tintas'!O26/200</f>
        <v>1.3385</v>
      </c>
    </row>
    <row r="28" spans="1:14" x14ac:dyDescent="0.3">
      <c r="A28" s="29" t="str">
        <f>'Muestras Tintas'!A27</f>
        <v>CA26QMAC1-SH-12</v>
      </c>
      <c r="B28" s="30" t="str">
        <f>'Muestras Tintas'!B27</f>
        <v>Carmenere</v>
      </c>
      <c r="C28" s="30" t="str">
        <f>'Muestras Tintas'!C27</f>
        <v>Maipo</v>
      </c>
      <c r="D28" s="30" t="str">
        <f>'Muestras Tintas'!D27</f>
        <v>QUINTA MAIPO</v>
      </c>
      <c r="E28" s="30">
        <f>'Muestras Tintas'!E27</f>
        <v>1</v>
      </c>
      <c r="F28" s="30" t="str">
        <f>'Muestras Tintas'!F27</f>
        <v>SH</v>
      </c>
      <c r="G28" s="30"/>
      <c r="H28" s="30">
        <f>'Muestras Tintas'!G27</f>
        <v>12</v>
      </c>
      <c r="I28" s="41">
        <f>'Muestras Tintas'!H27</f>
        <v>46118</v>
      </c>
      <c r="J28" s="30">
        <f>'Muestras Tintas'!I27</f>
        <v>3.8</v>
      </c>
      <c r="K28" s="30">
        <f>'Muestras Tintas'!J27</f>
        <v>24.8</v>
      </c>
      <c r="L28" s="30">
        <f>'Muestras Tintas'!L27*0.49</f>
        <v>2.2098999999999998</v>
      </c>
      <c r="M28" s="30">
        <f>'Muestras Tintas'!M27*1.53</f>
        <v>3.3811469999999999</v>
      </c>
      <c r="N28" s="59">
        <f>'Muestras Tintas'!O27/200</f>
        <v>1.2070000000000001</v>
      </c>
    </row>
    <row r="29" spans="1:14" x14ac:dyDescent="0.3">
      <c r="A29" s="31" t="str">
        <f>'Muestras Tintas'!A28</f>
        <v>CA26QMAC1-SH-13</v>
      </c>
      <c r="B29" s="32" t="str">
        <f>'Muestras Tintas'!B28</f>
        <v>Carmenere</v>
      </c>
      <c r="C29" s="32" t="str">
        <f>'Muestras Tintas'!C28</f>
        <v>Maipo</v>
      </c>
      <c r="D29" s="32" t="str">
        <f>'Muestras Tintas'!D28</f>
        <v>QUINTA MAIPO</v>
      </c>
      <c r="E29" s="32">
        <f>'Muestras Tintas'!E28</f>
        <v>1</v>
      </c>
      <c r="F29" s="32" t="str">
        <f>'Muestras Tintas'!F28</f>
        <v>SH</v>
      </c>
      <c r="G29" s="32"/>
      <c r="H29" s="32">
        <f>'Muestras Tintas'!G28</f>
        <v>13</v>
      </c>
      <c r="I29" s="54">
        <f>'Muestras Tintas'!H28</f>
        <v>46125</v>
      </c>
      <c r="J29" s="32">
        <f>'Muestras Tintas'!I28</f>
        <v>3.66</v>
      </c>
      <c r="K29" s="32">
        <f>'Muestras Tintas'!J28</f>
        <v>24</v>
      </c>
      <c r="L29" s="32">
        <f>'Muestras Tintas'!L28*0.49</f>
        <v>2.3764999999999996</v>
      </c>
      <c r="M29" s="32">
        <f>'Muestras Tintas'!M28*1.53</f>
        <v>3.6360449999999993</v>
      </c>
      <c r="N29" s="60">
        <f>'Muestras Tintas'!O28/200</f>
        <v>1.1599999999999999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5D8B-A583-473B-9E83-862BCCB34764}">
  <sheetPr codeName="Hoja10"/>
  <dimension ref="A2:N29"/>
  <sheetViews>
    <sheetView topLeftCell="A15" workbookViewId="0">
      <selection activeCell="D24" sqref="D24"/>
    </sheetView>
  </sheetViews>
  <sheetFormatPr baseColWidth="10" defaultColWidth="8.88671875" defaultRowHeight="14.4" x14ac:dyDescent="0.3"/>
  <cols>
    <col min="1" max="1" width="19.44140625" bestFit="1" customWidth="1"/>
    <col min="2" max="2" width="18.5546875" bestFit="1" customWidth="1"/>
    <col min="4" max="4" width="12.554687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45" t="s">
        <v>319</v>
      </c>
      <c r="B4" s="46" t="s">
        <v>19</v>
      </c>
      <c r="C4" s="46" t="s">
        <v>20</v>
      </c>
      <c r="D4" s="46" t="s">
        <v>21</v>
      </c>
      <c r="E4" s="46">
        <v>9</v>
      </c>
      <c r="F4" s="46">
        <v>56</v>
      </c>
      <c r="G4" s="46" t="s">
        <v>309</v>
      </c>
      <c r="H4" s="46">
        <v>1</v>
      </c>
      <c r="I4" s="47">
        <v>45693</v>
      </c>
      <c r="J4" s="46">
        <v>2.81</v>
      </c>
      <c r="K4" s="46">
        <v>16.399999999999999</v>
      </c>
      <c r="L4" s="46">
        <v>8.7807999999999993</v>
      </c>
      <c r="M4" s="46">
        <v>13.4346</v>
      </c>
      <c r="N4" s="48">
        <v>0.96</v>
      </c>
    </row>
    <row r="5" spans="1:14" x14ac:dyDescent="0.3">
      <c r="A5" s="49" t="s">
        <v>320</v>
      </c>
      <c r="B5" s="42" t="s">
        <v>19</v>
      </c>
      <c r="C5" s="42" t="s">
        <v>20</v>
      </c>
      <c r="D5" s="42" t="s">
        <v>21</v>
      </c>
      <c r="E5" s="42">
        <v>9</v>
      </c>
      <c r="F5" s="42">
        <v>56</v>
      </c>
      <c r="G5" s="42"/>
      <c r="H5" s="42">
        <v>2</v>
      </c>
      <c r="I5" s="41">
        <v>45699</v>
      </c>
      <c r="J5" s="42">
        <v>3.05</v>
      </c>
      <c r="K5" s="42">
        <v>17.600000000000001</v>
      </c>
      <c r="L5" s="42">
        <v>8.2417999999999996</v>
      </c>
      <c r="M5" s="42">
        <v>12.6099</v>
      </c>
      <c r="N5" s="50">
        <v>1.03</v>
      </c>
    </row>
    <row r="6" spans="1:14" x14ac:dyDescent="0.3">
      <c r="A6" s="49" t="s">
        <v>321</v>
      </c>
      <c r="B6" s="42" t="s">
        <v>19</v>
      </c>
      <c r="C6" s="42" t="s">
        <v>20</v>
      </c>
      <c r="D6" s="42" t="s">
        <v>21</v>
      </c>
      <c r="E6" s="42">
        <v>9</v>
      </c>
      <c r="F6" s="42">
        <v>56</v>
      </c>
      <c r="G6" s="42"/>
      <c r="H6" s="42">
        <v>3</v>
      </c>
      <c r="I6" s="41">
        <v>45708</v>
      </c>
      <c r="J6" s="42">
        <v>3.12</v>
      </c>
      <c r="K6" s="42">
        <v>20</v>
      </c>
      <c r="L6" s="42">
        <v>6.0662000000000003</v>
      </c>
      <c r="M6" s="42">
        <v>9.2812999999999999</v>
      </c>
      <c r="N6" s="50">
        <v>1.1599999999999999</v>
      </c>
    </row>
    <row r="7" spans="1:14" x14ac:dyDescent="0.3">
      <c r="A7" s="49" t="s">
        <v>322</v>
      </c>
      <c r="B7" s="42" t="s">
        <v>19</v>
      </c>
      <c r="C7" s="42" t="s">
        <v>20</v>
      </c>
      <c r="D7" s="42" t="s">
        <v>21</v>
      </c>
      <c r="E7" s="42">
        <v>9</v>
      </c>
      <c r="F7" s="42">
        <v>56</v>
      </c>
      <c r="G7" s="44">
        <v>45715</v>
      </c>
      <c r="H7" s="42">
        <v>4</v>
      </c>
      <c r="I7" s="41">
        <v>45715</v>
      </c>
      <c r="J7" s="42">
        <v>3.16</v>
      </c>
      <c r="K7" s="42">
        <v>22</v>
      </c>
      <c r="L7" s="42">
        <v>5.3410000000000002</v>
      </c>
      <c r="M7" s="42">
        <v>8.1716999999999995</v>
      </c>
      <c r="N7" s="50">
        <v>1.1000000000000001</v>
      </c>
    </row>
    <row r="8" spans="1:14" x14ac:dyDescent="0.3">
      <c r="A8" s="49" t="s">
        <v>323</v>
      </c>
      <c r="B8" s="42" t="s">
        <v>19</v>
      </c>
      <c r="C8" s="42" t="s">
        <v>20</v>
      </c>
      <c r="D8" s="42" t="s">
        <v>21</v>
      </c>
      <c r="E8" s="42">
        <v>9</v>
      </c>
      <c r="F8" s="42">
        <v>56</v>
      </c>
      <c r="G8" s="42"/>
      <c r="H8" s="42">
        <v>5</v>
      </c>
      <c r="I8" s="41">
        <v>45721</v>
      </c>
      <c r="J8" s="42">
        <v>3.33</v>
      </c>
      <c r="K8" s="42">
        <v>22.7</v>
      </c>
      <c r="L8" s="42">
        <v>4.9882</v>
      </c>
      <c r="M8" s="42">
        <v>7.6318999999999999</v>
      </c>
      <c r="N8" s="50">
        <v>1.38</v>
      </c>
    </row>
    <row r="9" spans="1:14" x14ac:dyDescent="0.3">
      <c r="A9" s="49" t="s">
        <v>324</v>
      </c>
      <c r="B9" s="42" t="s">
        <v>19</v>
      </c>
      <c r="C9" s="42" t="s">
        <v>20</v>
      </c>
      <c r="D9" s="42" t="s">
        <v>21</v>
      </c>
      <c r="E9" s="42">
        <v>9</v>
      </c>
      <c r="F9" s="42">
        <v>56</v>
      </c>
      <c r="G9" s="44">
        <v>45726</v>
      </c>
      <c r="H9" s="42">
        <v>6</v>
      </c>
      <c r="I9" s="41">
        <v>45726</v>
      </c>
      <c r="J9" s="42">
        <v>3.37</v>
      </c>
      <c r="K9" s="42">
        <v>22.8</v>
      </c>
      <c r="L9" s="42">
        <v>4.6256000000000004</v>
      </c>
      <c r="M9" s="42">
        <v>7.0772000000000004</v>
      </c>
      <c r="N9" s="50">
        <v>1.36</v>
      </c>
    </row>
    <row r="10" spans="1:14" x14ac:dyDescent="0.3">
      <c r="A10" s="49" t="s">
        <v>325</v>
      </c>
      <c r="B10" s="42" t="s">
        <v>19</v>
      </c>
      <c r="C10" s="42" t="s">
        <v>20</v>
      </c>
      <c r="D10" s="42" t="s">
        <v>21</v>
      </c>
      <c r="E10" s="42">
        <v>9</v>
      </c>
      <c r="F10" s="42">
        <v>56</v>
      </c>
      <c r="G10" s="43">
        <v>45733</v>
      </c>
      <c r="H10" s="42">
        <v>7</v>
      </c>
      <c r="I10" s="41">
        <v>45733</v>
      </c>
      <c r="J10" s="42">
        <v>3.47</v>
      </c>
      <c r="K10" s="42">
        <v>24.1</v>
      </c>
      <c r="L10" s="42">
        <v>4.5472000000000001</v>
      </c>
      <c r="M10" s="42">
        <v>6.9572000000000003</v>
      </c>
      <c r="N10" s="50">
        <v>1.44</v>
      </c>
    </row>
    <row r="11" spans="1:14" x14ac:dyDescent="0.3">
      <c r="A11" s="49" t="s">
        <v>326</v>
      </c>
      <c r="B11" s="42" t="s">
        <v>19</v>
      </c>
      <c r="C11" s="42" t="s">
        <v>20</v>
      </c>
      <c r="D11" s="42" t="s">
        <v>21</v>
      </c>
      <c r="E11" s="42">
        <v>9</v>
      </c>
      <c r="F11" s="42">
        <v>56</v>
      </c>
      <c r="G11" s="44">
        <v>45740</v>
      </c>
      <c r="H11" s="42">
        <v>8</v>
      </c>
      <c r="I11" s="41">
        <v>45740</v>
      </c>
      <c r="J11" s="42">
        <v>3.52</v>
      </c>
      <c r="K11" s="42">
        <v>25</v>
      </c>
      <c r="L11" s="42">
        <v>4.0964</v>
      </c>
      <c r="M11" s="42">
        <v>6.2675000000000001</v>
      </c>
      <c r="N11" s="50">
        <v>1.1499999999999999</v>
      </c>
    </row>
    <row r="12" spans="1:14" x14ac:dyDescent="0.3">
      <c r="A12" s="49" t="s">
        <v>327</v>
      </c>
      <c r="B12" s="42" t="s">
        <v>19</v>
      </c>
      <c r="C12" s="42" t="s">
        <v>20</v>
      </c>
      <c r="D12" s="42" t="s">
        <v>21</v>
      </c>
      <c r="E12" s="42">
        <v>9</v>
      </c>
      <c r="F12" s="42">
        <v>56</v>
      </c>
      <c r="G12" s="43">
        <v>45747</v>
      </c>
      <c r="H12" s="42">
        <v>9</v>
      </c>
      <c r="I12" s="41">
        <v>45747</v>
      </c>
      <c r="J12" s="42">
        <v>3.6</v>
      </c>
      <c r="K12" s="42">
        <v>25.1</v>
      </c>
      <c r="L12" s="42">
        <v>3.6749999999999998</v>
      </c>
      <c r="M12" s="42">
        <v>5.6227999999999998</v>
      </c>
      <c r="N12" s="50">
        <v>1.46</v>
      </c>
    </row>
    <row r="13" spans="1:14" x14ac:dyDescent="0.3">
      <c r="A13" s="51" t="s">
        <v>328</v>
      </c>
      <c r="B13" s="52" t="s">
        <v>19</v>
      </c>
      <c r="C13" s="52" t="s">
        <v>20</v>
      </c>
      <c r="D13" s="52" t="s">
        <v>21</v>
      </c>
      <c r="E13" s="52">
        <v>9</v>
      </c>
      <c r="F13" s="52">
        <v>56</v>
      </c>
      <c r="G13" s="53">
        <v>45754</v>
      </c>
      <c r="H13" s="52">
        <v>10</v>
      </c>
      <c r="I13" s="54">
        <v>45754</v>
      </c>
      <c r="J13" s="52">
        <v>3.57</v>
      </c>
      <c r="K13" s="52">
        <v>25.5</v>
      </c>
      <c r="L13" s="52">
        <v>3.6358000000000001</v>
      </c>
      <c r="M13" s="52">
        <v>5.5628000000000002</v>
      </c>
      <c r="N13" s="55">
        <v>1.46</v>
      </c>
    </row>
    <row r="15" spans="1:14" x14ac:dyDescent="0.3">
      <c r="A15" s="23">
        <v>2026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3">
      <c r="A16" s="37" t="s">
        <v>0</v>
      </c>
      <c r="B16" s="26" t="s">
        <v>1</v>
      </c>
      <c r="C16" s="26" t="s">
        <v>225</v>
      </c>
      <c r="D16" s="26" t="s">
        <v>3</v>
      </c>
      <c r="E16" s="26" t="s">
        <v>4</v>
      </c>
      <c r="F16" s="26" t="s">
        <v>5</v>
      </c>
      <c r="G16" s="26" t="s">
        <v>226</v>
      </c>
      <c r="H16" s="26" t="s">
        <v>227</v>
      </c>
      <c r="I16" s="26" t="s">
        <v>228</v>
      </c>
      <c r="J16" s="26" t="s">
        <v>8</v>
      </c>
      <c r="K16" s="38" t="s">
        <v>9</v>
      </c>
      <c r="L16" s="26" t="s">
        <v>12</v>
      </c>
      <c r="M16" s="7" t="s">
        <v>13</v>
      </c>
      <c r="N16" s="39" t="s">
        <v>16</v>
      </c>
    </row>
    <row r="17" spans="1:14" x14ac:dyDescent="0.3">
      <c r="A17" s="27" t="str">
        <f>'Muestras Tintas'!A2</f>
        <v>CS26ADOC9-H56-1</v>
      </c>
      <c r="B17" s="28" t="str">
        <f>'Muestras Tintas'!B2</f>
        <v>Cabernet Sauvignon</v>
      </c>
      <c r="C17" s="28" t="str">
        <f>'Muestras Tintas'!C2</f>
        <v>Maipo</v>
      </c>
      <c r="D17" s="28" t="str">
        <f>'Muestras Tintas'!D2</f>
        <v>SAN ADOLFO</v>
      </c>
      <c r="E17" s="28">
        <f>'Muestras Tintas'!E2</f>
        <v>9</v>
      </c>
      <c r="F17" s="28">
        <f>'Muestras Tintas'!F2</f>
        <v>56</v>
      </c>
      <c r="G17" s="28"/>
      <c r="H17" s="28" t="str">
        <f>'Muestras Tintas'!G2</f>
        <v>1</v>
      </c>
      <c r="I17" s="47">
        <f>'Muestras Tintas'!H2</f>
        <v>46042</v>
      </c>
      <c r="J17" s="28">
        <f>'Muestras Tintas'!I2</f>
        <v>2.81</v>
      </c>
      <c r="K17" s="28">
        <f>'Muestras Tintas'!J2</f>
        <v>15.9</v>
      </c>
      <c r="L17" s="28">
        <f>'Muestras Tintas'!L2*0.49</f>
        <v>12.1716</v>
      </c>
      <c r="M17" s="28">
        <f>'Muestras Tintas'!M2*1.53</f>
        <v>18.622547999999998</v>
      </c>
      <c r="N17" s="58">
        <f>'Muestras Tintas'!O2/200</f>
        <v>0.91639999999999999</v>
      </c>
    </row>
    <row r="18" spans="1:14" x14ac:dyDescent="0.3">
      <c r="A18" s="29" t="str">
        <f>'Muestras Tintas'!A3</f>
        <v>CS26ADOC9-H56-2</v>
      </c>
      <c r="B18" s="30" t="str">
        <f>'Muestras Tintas'!B3</f>
        <v>Cabernet Sauvignon</v>
      </c>
      <c r="C18" s="30" t="str">
        <f>'Muestras Tintas'!C3</f>
        <v>Maipo</v>
      </c>
      <c r="D18" s="30" t="str">
        <f>'Muestras Tintas'!D3</f>
        <v>SAN ADOLFO</v>
      </c>
      <c r="E18" s="30">
        <f>'Muestras Tintas'!E3</f>
        <v>9</v>
      </c>
      <c r="F18" s="30">
        <f>'Muestras Tintas'!F3</f>
        <v>56</v>
      </c>
      <c r="G18" s="30"/>
      <c r="H18" s="30" t="str">
        <f>'Muestras Tintas'!G3</f>
        <v>2</v>
      </c>
      <c r="I18" s="41">
        <f>'Muestras Tintas'!H3</f>
        <v>46048</v>
      </c>
      <c r="J18" s="30">
        <f>'Muestras Tintas'!I3</f>
        <v>2.97</v>
      </c>
      <c r="K18" s="30">
        <f>'Muestras Tintas'!J3</f>
        <v>16.600000000000001</v>
      </c>
      <c r="L18" s="30">
        <f>'Muestras Tintas'!L3*0.49</f>
        <v>9.4374000000000002</v>
      </c>
      <c r="M18" s="30">
        <f>'Muestras Tintas'!M3*1.53</f>
        <v>14.439222000000001</v>
      </c>
      <c r="N18" s="59">
        <f>'Muestras Tintas'!O3/200</f>
        <v>0.96305000000000007</v>
      </c>
    </row>
    <row r="19" spans="1:14" x14ac:dyDescent="0.3">
      <c r="A19" s="29" t="str">
        <f>'Muestras Tintas'!A4</f>
        <v>CS26ADOC9-H56-3</v>
      </c>
      <c r="B19" s="30" t="str">
        <f>'Muestras Tintas'!B4</f>
        <v>Cabernet Sauvignon</v>
      </c>
      <c r="C19" s="30" t="str">
        <f>'Muestras Tintas'!C4</f>
        <v>Maipo</v>
      </c>
      <c r="D19" s="30" t="str">
        <f>'Muestras Tintas'!D4</f>
        <v>SAN ADOLFO</v>
      </c>
      <c r="E19" s="30">
        <f>'Muestras Tintas'!E4</f>
        <v>9</v>
      </c>
      <c r="F19" s="30">
        <f>'Muestras Tintas'!F4</f>
        <v>56</v>
      </c>
      <c r="G19" s="30"/>
      <c r="H19" s="30" t="str">
        <f>'Muestras Tintas'!G4</f>
        <v>3</v>
      </c>
      <c r="I19" s="41">
        <f>'Muestras Tintas'!H4</f>
        <v>46055</v>
      </c>
      <c r="J19" s="30">
        <f>'Muestras Tintas'!I4</f>
        <v>3.12</v>
      </c>
      <c r="K19" s="30">
        <f>'Muestras Tintas'!J4</f>
        <v>17.5</v>
      </c>
      <c r="L19" s="30">
        <f>'Muestras Tintas'!L4*0.49</f>
        <v>7.6244000000000005</v>
      </c>
      <c r="M19" s="30">
        <f>'Muestras Tintas'!M4*1.53</f>
        <v>11.665332000000001</v>
      </c>
      <c r="N19" s="59">
        <f>'Muestras Tintas'!O4/200</f>
        <v>0.94435000000000002</v>
      </c>
    </row>
    <row r="20" spans="1:14" x14ac:dyDescent="0.3">
      <c r="A20" s="29" t="str">
        <f>'Muestras Tintas'!A5</f>
        <v>CS26ADOC9-H56-4</v>
      </c>
      <c r="B20" s="30" t="str">
        <f>'Muestras Tintas'!B5</f>
        <v>Cabernet Sauvignon</v>
      </c>
      <c r="C20" s="30" t="str">
        <f>'Muestras Tintas'!C5</f>
        <v>Maipo</v>
      </c>
      <c r="D20" s="30" t="str">
        <f>'Muestras Tintas'!D5</f>
        <v>SAN ADOLFO</v>
      </c>
      <c r="E20" s="30">
        <f>'Muestras Tintas'!E5</f>
        <v>9</v>
      </c>
      <c r="F20" s="30">
        <f>'Muestras Tintas'!F5</f>
        <v>56</v>
      </c>
      <c r="G20" s="30"/>
      <c r="H20" s="30" t="str">
        <f>'Muestras Tintas'!G5</f>
        <v>4</v>
      </c>
      <c r="I20" s="41">
        <f>'Muestras Tintas'!H5</f>
        <v>46062</v>
      </c>
      <c r="J20" s="30">
        <f>'Muestras Tintas'!I5</f>
        <v>3.14</v>
      </c>
      <c r="K20" s="30">
        <f>'Muestras Tintas'!J5</f>
        <v>18.2</v>
      </c>
      <c r="L20" s="30">
        <f>'Muestras Tintas'!L5*0.49</f>
        <v>7.2128000000000005</v>
      </c>
      <c r="M20" s="30">
        <f>'Muestras Tintas'!M5*1.53</f>
        <v>11.035584000000002</v>
      </c>
      <c r="N20" s="59">
        <f>'Muestras Tintas'!O5/200</f>
        <v>0.9890000000000001</v>
      </c>
    </row>
    <row r="21" spans="1:14" x14ac:dyDescent="0.3">
      <c r="A21" s="29" t="str">
        <f>'Muestras Tintas'!A6</f>
        <v>CS26ADOC9-H56-5</v>
      </c>
      <c r="B21" s="30" t="str">
        <f>'Muestras Tintas'!B6</f>
        <v>Cabernet Sauvignon</v>
      </c>
      <c r="C21" s="30" t="str">
        <f>'Muestras Tintas'!C6</f>
        <v>Maipo</v>
      </c>
      <c r="D21" s="30" t="str">
        <f>'Muestras Tintas'!D6</f>
        <v>SAN ADOLFO</v>
      </c>
      <c r="E21" s="30">
        <f>'Muestras Tintas'!E6</f>
        <v>9</v>
      </c>
      <c r="F21" s="30">
        <f>'Muestras Tintas'!F6</f>
        <v>56</v>
      </c>
      <c r="G21" s="30"/>
      <c r="H21" s="30" t="str">
        <f>'Muestras Tintas'!G6</f>
        <v>5</v>
      </c>
      <c r="I21" s="41">
        <f>'Muestras Tintas'!H6</f>
        <v>46069</v>
      </c>
      <c r="J21" s="30">
        <f>'Muestras Tintas'!I6</f>
        <v>3.2</v>
      </c>
      <c r="K21" s="30">
        <f>'Muestras Tintas'!J6</f>
        <v>20.100000000000001</v>
      </c>
      <c r="L21" s="30">
        <f>'Muestras Tintas'!L6*0.49</f>
        <v>5.2528000000000006</v>
      </c>
      <c r="M21" s="30">
        <f>'Muestras Tintas'!M6*1.53</f>
        <v>8.0367840000000008</v>
      </c>
      <c r="N21" s="59">
        <f>'Muestras Tintas'!O6/200</f>
        <v>0.99150000000000005</v>
      </c>
    </row>
    <row r="22" spans="1:14" x14ac:dyDescent="0.3">
      <c r="A22" s="29" t="str">
        <f>'Muestras Tintas'!A7</f>
        <v>CS26ADOC9-H56-6</v>
      </c>
      <c r="B22" s="30" t="str">
        <f>'Muestras Tintas'!B7</f>
        <v>Cabernet Sauvignon</v>
      </c>
      <c r="C22" s="30" t="str">
        <f>'Muestras Tintas'!C7</f>
        <v>Maipo</v>
      </c>
      <c r="D22" s="30" t="str">
        <f>'Muestras Tintas'!D7</f>
        <v>SAN ADOLFO</v>
      </c>
      <c r="E22" s="30">
        <f>'Muestras Tintas'!E7</f>
        <v>9</v>
      </c>
      <c r="F22" s="30">
        <f>'Muestras Tintas'!F7</f>
        <v>56</v>
      </c>
      <c r="G22" s="30"/>
      <c r="H22" s="30" t="str">
        <f>'Muestras Tintas'!G7</f>
        <v>6</v>
      </c>
      <c r="I22" s="41">
        <f>'Muestras Tintas'!H7</f>
        <v>46076</v>
      </c>
      <c r="J22" s="30">
        <f>'Muestras Tintas'!I7</f>
        <v>3.37</v>
      </c>
      <c r="K22" s="30">
        <f>'Muestras Tintas'!J7</f>
        <v>21.8</v>
      </c>
      <c r="L22" s="30">
        <f>'Muestras Tintas'!L7*0.49</f>
        <v>4.4589999999999996</v>
      </c>
      <c r="M22" s="30">
        <f>'Muestras Tintas'!M7*1.53</f>
        <v>6.8222699999999996</v>
      </c>
      <c r="N22" s="59">
        <f>'Muestras Tintas'!O7/200</f>
        <v>0.93200000000000005</v>
      </c>
    </row>
    <row r="23" spans="1:14" x14ac:dyDescent="0.3">
      <c r="A23" s="29" t="str">
        <f>'Muestras Tintas'!A8</f>
        <v>CS26ADOC9-H56-7</v>
      </c>
      <c r="B23" s="30" t="str">
        <f>'Muestras Tintas'!B8</f>
        <v>Cabernet Sauvignon</v>
      </c>
      <c r="C23" s="30" t="str">
        <f>'Muestras Tintas'!C8</f>
        <v>Maipo</v>
      </c>
      <c r="D23" s="30" t="str">
        <f>'Muestras Tintas'!D8</f>
        <v>SAN ADOLFO</v>
      </c>
      <c r="E23" s="30">
        <f>'Muestras Tintas'!E8</f>
        <v>9</v>
      </c>
      <c r="F23" s="30">
        <f>'Muestras Tintas'!F8</f>
        <v>56</v>
      </c>
      <c r="G23" s="30"/>
      <c r="H23" s="30" t="str">
        <f>'Muestras Tintas'!G8</f>
        <v>7</v>
      </c>
      <c r="I23" s="41">
        <f>'Muestras Tintas'!H8</f>
        <v>46083</v>
      </c>
      <c r="J23" s="30">
        <f>'Muestras Tintas'!I8</f>
        <v>3.4</v>
      </c>
      <c r="K23" s="30">
        <f>'Muestras Tintas'!J8</f>
        <v>23</v>
      </c>
      <c r="L23" s="30">
        <f>'Muestras Tintas'!L8*0.49</f>
        <v>4.4932999999999996</v>
      </c>
      <c r="M23" s="30">
        <f>'Muestras Tintas'!M8*1.53</f>
        <v>6.8747489999999996</v>
      </c>
      <c r="N23" s="59">
        <f>'Muestras Tintas'!O8/200</f>
        <v>0.9484999999999999</v>
      </c>
    </row>
    <row r="24" spans="1:14" x14ac:dyDescent="0.3">
      <c r="A24" s="29" t="str">
        <f>'Muestras Tintas'!A9</f>
        <v>CS26ADOC9-H56-8</v>
      </c>
      <c r="B24" s="30" t="str">
        <f>'Muestras Tintas'!B9</f>
        <v>Cabernet Sauvignon</v>
      </c>
      <c r="C24" s="30" t="str">
        <f>'Muestras Tintas'!C9</f>
        <v>Maipo</v>
      </c>
      <c r="D24" s="30" t="str">
        <f>'Muestras Tintas'!D9</f>
        <v>SAN ADOLFO</v>
      </c>
      <c r="E24" s="30">
        <f>'Muestras Tintas'!E9</f>
        <v>9</v>
      </c>
      <c r="F24" s="30">
        <f>'Muestras Tintas'!F9</f>
        <v>56</v>
      </c>
      <c r="G24" s="30"/>
      <c r="H24" s="30" t="str">
        <f>'Muestras Tintas'!G9</f>
        <v>8</v>
      </c>
      <c r="I24" s="41">
        <f>'Muestras Tintas'!H9</f>
        <v>46090</v>
      </c>
      <c r="J24" s="30">
        <f>'Muestras Tintas'!I9</f>
        <v>3.48</v>
      </c>
      <c r="K24" s="30">
        <f>'Muestras Tintas'!J9</f>
        <v>24</v>
      </c>
      <c r="L24" s="30">
        <f>'Muestras Tintas'!L9*0.49</f>
        <v>4.2874999999999996</v>
      </c>
      <c r="M24" s="30">
        <f>'Muestras Tintas'!M9*1.53</f>
        <v>6.5598749999999999</v>
      </c>
      <c r="N24" s="59">
        <f>'Muestras Tintas'!O9/200</f>
        <v>0.95700000000000007</v>
      </c>
    </row>
    <row r="25" spans="1:14" x14ac:dyDescent="0.3">
      <c r="A25" s="29" t="str">
        <f>'Muestras Tintas'!A10</f>
        <v>CS26ADOC9-H56-9</v>
      </c>
      <c r="B25" s="30" t="str">
        <f>'Muestras Tintas'!B10</f>
        <v>Cabernet Sauvignon</v>
      </c>
      <c r="C25" s="30" t="str">
        <f>'Muestras Tintas'!C10</f>
        <v>Maipo</v>
      </c>
      <c r="D25" s="30" t="str">
        <f>'Muestras Tintas'!D10</f>
        <v>SAN ADOLFO</v>
      </c>
      <c r="E25" s="30">
        <f>'Muestras Tintas'!E10</f>
        <v>9</v>
      </c>
      <c r="F25" s="30">
        <f>'Muestras Tintas'!F10</f>
        <v>56</v>
      </c>
      <c r="G25" s="30"/>
      <c r="H25" s="30" t="str">
        <f>'Muestras Tintas'!G10</f>
        <v>9</v>
      </c>
      <c r="I25" s="41">
        <f>'Muestras Tintas'!H10</f>
        <v>46097</v>
      </c>
      <c r="J25" s="30">
        <f>'Muestras Tintas'!I10</f>
        <v>3.45</v>
      </c>
      <c r="K25" s="30">
        <f>'Muestras Tintas'!J10</f>
        <v>24.4</v>
      </c>
      <c r="L25" s="30">
        <f>'Muestras Tintas'!L10*0.49</f>
        <v>3.7239999999999998</v>
      </c>
      <c r="M25" s="30">
        <f>'Muestras Tintas'!M10*1.53</f>
        <v>5.6977199999999995</v>
      </c>
      <c r="N25" s="59">
        <f>'Muestras Tintas'!O10/200</f>
        <v>0.95650000000000002</v>
      </c>
    </row>
    <row r="26" spans="1:14" x14ac:dyDescent="0.3">
      <c r="A26" s="29" t="str">
        <f>'Muestras Tintas'!A11</f>
        <v>CS26ADOC9-H56-10</v>
      </c>
      <c r="B26" s="30" t="str">
        <f>'Muestras Tintas'!B11</f>
        <v>Cabernet Sauvignon</v>
      </c>
      <c r="C26" s="30" t="str">
        <f>'Muestras Tintas'!C11</f>
        <v>Maipo</v>
      </c>
      <c r="D26" s="30" t="str">
        <f>'Muestras Tintas'!D11</f>
        <v>SAN ADOLFO</v>
      </c>
      <c r="E26" s="30">
        <f>'Muestras Tintas'!E11</f>
        <v>9</v>
      </c>
      <c r="F26" s="30">
        <f>'Muestras Tintas'!F11</f>
        <v>56</v>
      </c>
      <c r="G26" s="30"/>
      <c r="H26" s="30" t="str">
        <f>'Muestras Tintas'!G11</f>
        <v>10</v>
      </c>
      <c r="I26" s="41">
        <f>'Muestras Tintas'!H11</f>
        <v>46104</v>
      </c>
      <c r="J26" s="30">
        <f>'Muestras Tintas'!I11</f>
        <v>3.49</v>
      </c>
      <c r="K26" s="30">
        <f>'Muestras Tintas'!J11</f>
        <v>24.8</v>
      </c>
      <c r="L26" s="30">
        <f>'Muestras Tintas'!L11*0.49</f>
        <v>3.5427</v>
      </c>
      <c r="M26" s="30">
        <f>'Muestras Tintas'!M11*1.53</f>
        <v>5.420331</v>
      </c>
      <c r="N26" s="59">
        <f>'Muestras Tintas'!O11/200</f>
        <v>0.99150000000000005</v>
      </c>
    </row>
    <row r="27" spans="1:14" x14ac:dyDescent="0.3">
      <c r="A27" s="29" t="str">
        <f>'Muestras Tintas'!A12</f>
        <v>CS26ADOC9-H56-11</v>
      </c>
      <c r="B27" s="30" t="str">
        <f>'Muestras Tintas'!B12</f>
        <v>Cabernet Sauvignon</v>
      </c>
      <c r="C27" s="30" t="str">
        <f>'Muestras Tintas'!C12</f>
        <v>Maipo</v>
      </c>
      <c r="D27" s="30" t="str">
        <f>'Muestras Tintas'!D12</f>
        <v>SAN ADOLFO</v>
      </c>
      <c r="E27" s="30">
        <f>'Muestras Tintas'!E12</f>
        <v>9</v>
      </c>
      <c r="F27" s="30">
        <f>'Muestras Tintas'!F12</f>
        <v>56</v>
      </c>
      <c r="G27" s="30"/>
      <c r="H27" s="30" t="str">
        <f>'Muestras Tintas'!G12</f>
        <v>11</v>
      </c>
      <c r="I27" s="41">
        <f>'Muestras Tintas'!H12</f>
        <v>46111</v>
      </c>
      <c r="J27" s="30">
        <f>'Muestras Tintas'!I12</f>
        <v>3.49</v>
      </c>
      <c r="K27" s="30">
        <f>'Muestras Tintas'!J12</f>
        <v>25</v>
      </c>
      <c r="L27" s="30">
        <f>'Muestras Tintas'!L12*0.49</f>
        <v>3.4447000000000001</v>
      </c>
      <c r="M27" s="30">
        <f>'Muestras Tintas'!M12*1.53</f>
        <v>5.270391</v>
      </c>
      <c r="N27" s="59">
        <f>'Muestras Tintas'!O12/200</f>
        <v>0.91400000000000003</v>
      </c>
    </row>
    <row r="28" spans="1:14" x14ac:dyDescent="0.3">
      <c r="A28" s="29" t="str">
        <f>'Muestras Tintas'!A13</f>
        <v>CS26ADOC9-H56-12</v>
      </c>
      <c r="B28" s="30" t="str">
        <f>'Muestras Tintas'!B13</f>
        <v>Cabernet Sauvignon</v>
      </c>
      <c r="C28" s="30" t="str">
        <f>'Muestras Tintas'!C13</f>
        <v>Maipo</v>
      </c>
      <c r="D28" s="30" t="str">
        <f>'Muestras Tintas'!D13</f>
        <v>SAN ADOLFO</v>
      </c>
      <c r="E28" s="30">
        <f>'Muestras Tintas'!E13</f>
        <v>9</v>
      </c>
      <c r="F28" s="30">
        <f>'Muestras Tintas'!F13</f>
        <v>56</v>
      </c>
      <c r="G28" s="30"/>
      <c r="H28" s="30" t="str">
        <f>'Muestras Tintas'!G13</f>
        <v>12</v>
      </c>
      <c r="I28" s="41">
        <f>'Muestras Tintas'!H13</f>
        <v>46118</v>
      </c>
      <c r="J28" s="30">
        <f>'Muestras Tintas'!I13</f>
        <v>3.56</v>
      </c>
      <c r="K28" s="30">
        <f>'Muestras Tintas'!J13</f>
        <v>26.5</v>
      </c>
      <c r="L28" s="30">
        <f>'Muestras Tintas'!L13*0.49</f>
        <v>3.1850000000000001</v>
      </c>
      <c r="M28" s="30">
        <f>'Muestras Tintas'!M13*1.53</f>
        <v>4.8730500000000001</v>
      </c>
      <c r="N28" s="59">
        <f>'Muestras Tintas'!O13/200</f>
        <v>0.93099999999999994</v>
      </c>
    </row>
    <row r="29" spans="1:14" x14ac:dyDescent="0.3">
      <c r="A29" s="31" t="str">
        <f>'Muestras Tintas'!A14</f>
        <v>CS26ADOC9-H56-13</v>
      </c>
      <c r="B29" s="32" t="str">
        <f>'Muestras Tintas'!B14</f>
        <v>Cabernet Sauvignon</v>
      </c>
      <c r="C29" s="32" t="str">
        <f>'Muestras Tintas'!C14</f>
        <v>Maipo</v>
      </c>
      <c r="D29" s="32" t="str">
        <f>'Muestras Tintas'!D14</f>
        <v>SAN ADOLFO</v>
      </c>
      <c r="E29" s="32">
        <f>'Muestras Tintas'!E14</f>
        <v>9</v>
      </c>
      <c r="F29" s="32">
        <f>'Muestras Tintas'!F14</f>
        <v>56</v>
      </c>
      <c r="G29" s="32"/>
      <c r="H29" s="32" t="str">
        <f>'Muestras Tintas'!G14</f>
        <v>13</v>
      </c>
      <c r="I29" s="54">
        <f>'Muestras Tintas'!H14</f>
        <v>46125</v>
      </c>
      <c r="J29" s="32">
        <f>'Muestras Tintas'!I14</f>
        <v>3.53</v>
      </c>
      <c r="K29" s="32">
        <f>'Muestras Tintas'!J14</f>
        <v>26.1</v>
      </c>
      <c r="L29" s="32">
        <f>'Muestras Tintas'!L14*0.49</f>
        <v>3.7435999999999998</v>
      </c>
      <c r="M29" s="32">
        <f>'Muestras Tintas'!M14*1.53</f>
        <v>5.7277079999999998</v>
      </c>
      <c r="N29" s="60">
        <f>'Muestras Tintas'!O14/200</f>
        <v>0.96450000000000002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6725-D736-4C28-AA07-54EF59BBEBA4}">
  <sheetPr codeName="Hoja11"/>
  <dimension ref="A2:N31"/>
  <sheetViews>
    <sheetView topLeftCell="A12" workbookViewId="0">
      <selection activeCell="G39" sqref="G39"/>
    </sheetView>
  </sheetViews>
  <sheetFormatPr baseColWidth="10" defaultColWidth="8.88671875" defaultRowHeight="14.4" x14ac:dyDescent="0.3"/>
  <cols>
    <col min="1" max="1" width="20" bestFit="1" customWidth="1"/>
    <col min="2" max="2" width="10.6640625" bestFit="1" customWidth="1"/>
    <col min="3" max="3" width="10.44140625" bestFit="1" customWidth="1"/>
    <col min="4" max="4" width="12.3320312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45" t="s">
        <v>329</v>
      </c>
      <c r="B4" s="46" t="s">
        <v>51</v>
      </c>
      <c r="C4" s="64" t="str">
        <f>'Muestras Tintas'!C52</f>
        <v>Colchagua</v>
      </c>
      <c r="D4" s="46" t="s">
        <v>122</v>
      </c>
      <c r="E4" s="46">
        <v>42</v>
      </c>
      <c r="F4" s="46">
        <v>30</v>
      </c>
      <c r="G4" s="46" t="s">
        <v>309</v>
      </c>
      <c r="H4" s="46">
        <v>1</v>
      </c>
      <c r="I4" s="47">
        <v>45706</v>
      </c>
      <c r="J4" s="46">
        <v>3.15</v>
      </c>
      <c r="K4" s="46">
        <v>17</v>
      </c>
      <c r="L4" s="46">
        <v>5.1841999999999997</v>
      </c>
      <c r="M4" s="46">
        <v>7.9318</v>
      </c>
      <c r="N4" s="48">
        <v>1.4</v>
      </c>
    </row>
    <row r="5" spans="1:14" x14ac:dyDescent="0.3">
      <c r="A5" s="49" t="s">
        <v>330</v>
      </c>
      <c r="B5" s="42" t="s">
        <v>51</v>
      </c>
      <c r="C5" s="67" t="str">
        <f>'Muestras Tintas'!C53</f>
        <v>Colchagua</v>
      </c>
      <c r="D5" s="42" t="s">
        <v>122</v>
      </c>
      <c r="E5" s="42">
        <v>42</v>
      </c>
      <c r="F5" s="42">
        <v>30</v>
      </c>
      <c r="G5" s="42"/>
      <c r="H5" s="42">
        <v>2</v>
      </c>
      <c r="I5" s="41">
        <v>45713</v>
      </c>
      <c r="J5" s="42">
        <v>3.34</v>
      </c>
      <c r="K5" s="42">
        <v>18.600000000000001</v>
      </c>
      <c r="L5" s="42">
        <v>4.0571999999999999</v>
      </c>
      <c r="M5" s="42">
        <v>6.2074999999999996</v>
      </c>
      <c r="N5" s="50">
        <v>1.6</v>
      </c>
    </row>
    <row r="6" spans="1:14" x14ac:dyDescent="0.3">
      <c r="A6" s="49" t="s">
        <v>331</v>
      </c>
      <c r="B6" s="42" t="s">
        <v>51</v>
      </c>
      <c r="C6" s="67" t="str">
        <f>'Muestras Tintas'!C54</f>
        <v>Colchagua</v>
      </c>
      <c r="D6" s="42" t="s">
        <v>122</v>
      </c>
      <c r="E6" s="42">
        <v>42</v>
      </c>
      <c r="F6" s="42">
        <v>30</v>
      </c>
      <c r="G6" s="42"/>
      <c r="H6" s="42">
        <v>3</v>
      </c>
      <c r="I6" s="41">
        <v>45720</v>
      </c>
      <c r="J6" s="42">
        <v>3.46</v>
      </c>
      <c r="K6" s="42">
        <v>19.8</v>
      </c>
      <c r="L6" s="42">
        <v>4.0376000000000003</v>
      </c>
      <c r="M6" s="42">
        <v>6.1775000000000002</v>
      </c>
      <c r="N6" s="50">
        <v>1.94</v>
      </c>
    </row>
    <row r="7" spans="1:14" x14ac:dyDescent="0.3">
      <c r="A7" s="49" t="s">
        <v>332</v>
      </c>
      <c r="B7" s="42" t="s">
        <v>51</v>
      </c>
      <c r="C7" s="67" t="str">
        <f>'Muestras Tintas'!C56</f>
        <v>Cachapoal</v>
      </c>
      <c r="D7" s="42" t="s">
        <v>122</v>
      </c>
      <c r="E7" s="42">
        <v>42</v>
      </c>
      <c r="F7" s="42">
        <v>30</v>
      </c>
      <c r="G7" s="43">
        <v>45727</v>
      </c>
      <c r="H7" s="42">
        <v>4</v>
      </c>
      <c r="I7" s="41">
        <v>45727</v>
      </c>
      <c r="J7" s="42">
        <v>3.57</v>
      </c>
      <c r="K7" s="42">
        <v>21.6</v>
      </c>
      <c r="L7" s="42">
        <v>3.0379999999999998</v>
      </c>
      <c r="M7" s="42">
        <v>4.6481000000000003</v>
      </c>
      <c r="N7" s="50">
        <v>1.68</v>
      </c>
    </row>
    <row r="8" spans="1:14" x14ac:dyDescent="0.3">
      <c r="A8" s="49" t="s">
        <v>333</v>
      </c>
      <c r="B8" s="42" t="s">
        <v>51</v>
      </c>
      <c r="C8" s="67" t="str">
        <f>'Muestras Tintas'!C57</f>
        <v>Cachapoal</v>
      </c>
      <c r="D8" s="42" t="s">
        <v>122</v>
      </c>
      <c r="E8" s="42">
        <v>42</v>
      </c>
      <c r="F8" s="42">
        <v>30</v>
      </c>
      <c r="G8" s="44">
        <v>45735</v>
      </c>
      <c r="H8" s="42">
        <v>5</v>
      </c>
      <c r="I8" s="41">
        <v>45735</v>
      </c>
      <c r="J8" s="42">
        <v>3.66</v>
      </c>
      <c r="K8" s="42">
        <v>22.1</v>
      </c>
      <c r="L8" s="42">
        <v>3.0036999999999998</v>
      </c>
      <c r="M8" s="42">
        <v>4.5956999999999999</v>
      </c>
      <c r="N8" s="50">
        <v>2.11</v>
      </c>
    </row>
    <row r="9" spans="1:14" x14ac:dyDescent="0.3">
      <c r="A9" s="49" t="s">
        <v>334</v>
      </c>
      <c r="B9" s="42" t="s">
        <v>51</v>
      </c>
      <c r="C9" s="67" t="str">
        <f>'Muestras Tintas'!C58</f>
        <v>Cachapoal</v>
      </c>
      <c r="D9" s="42" t="s">
        <v>122</v>
      </c>
      <c r="E9" s="42">
        <v>42</v>
      </c>
      <c r="F9" s="42">
        <v>30</v>
      </c>
      <c r="G9" s="42"/>
      <c r="H9" s="42">
        <v>6</v>
      </c>
      <c r="I9" s="41">
        <v>45742</v>
      </c>
      <c r="J9" s="42">
        <v>3.72</v>
      </c>
      <c r="K9" s="42">
        <v>23.4</v>
      </c>
      <c r="L9" s="42">
        <v>2.7488999999999999</v>
      </c>
      <c r="M9" s="42">
        <v>4.2058</v>
      </c>
      <c r="N9" s="50">
        <v>1.88</v>
      </c>
    </row>
    <row r="10" spans="1:14" x14ac:dyDescent="0.3">
      <c r="A10" s="49" t="s">
        <v>335</v>
      </c>
      <c r="B10" s="42" t="s">
        <v>51</v>
      </c>
      <c r="C10" s="67" t="str">
        <f>'Muestras Tintas'!C59</f>
        <v>Cachapoal</v>
      </c>
      <c r="D10" s="42" t="s">
        <v>122</v>
      </c>
      <c r="E10" s="42">
        <v>42</v>
      </c>
      <c r="F10" s="42">
        <v>30</v>
      </c>
      <c r="G10" s="43">
        <v>45748</v>
      </c>
      <c r="H10" s="42">
        <v>7</v>
      </c>
      <c r="I10" s="41">
        <v>45748</v>
      </c>
      <c r="J10" s="42">
        <v>3.72</v>
      </c>
      <c r="K10" s="42">
        <v>23.5</v>
      </c>
      <c r="L10" s="42">
        <v>2.7097000000000002</v>
      </c>
      <c r="M10" s="42">
        <v>4.1458000000000004</v>
      </c>
      <c r="N10" s="50">
        <v>2.0499999999999998</v>
      </c>
    </row>
    <row r="11" spans="1:14" x14ac:dyDescent="0.3">
      <c r="A11" s="49" t="s">
        <v>336</v>
      </c>
      <c r="B11" s="42" t="s">
        <v>51</v>
      </c>
      <c r="C11" s="67" t="str">
        <f>'Muestras Tintas'!C60</f>
        <v>Cachapoal</v>
      </c>
      <c r="D11" s="42" t="s">
        <v>122</v>
      </c>
      <c r="E11" s="42">
        <v>42</v>
      </c>
      <c r="F11" s="42">
        <v>30</v>
      </c>
      <c r="G11" s="42"/>
      <c r="H11" s="42">
        <v>8</v>
      </c>
      <c r="I11" s="41">
        <v>45755</v>
      </c>
      <c r="J11" s="42">
        <v>3.73</v>
      </c>
      <c r="K11" s="42">
        <v>23.6</v>
      </c>
      <c r="L11" s="42">
        <v>2.6067999999999998</v>
      </c>
      <c r="M11" s="42">
        <v>3.9883999999999999</v>
      </c>
      <c r="N11" s="50">
        <v>2.0699999999999998</v>
      </c>
    </row>
    <row r="12" spans="1:14" x14ac:dyDescent="0.3">
      <c r="A12" s="49" t="s">
        <v>337</v>
      </c>
      <c r="B12" s="42" t="s">
        <v>51</v>
      </c>
      <c r="C12" s="67" t="str">
        <f>'Muestras Tintas'!C61</f>
        <v>Cachapoal</v>
      </c>
      <c r="D12" s="42" t="s">
        <v>122</v>
      </c>
      <c r="E12" s="42">
        <v>42</v>
      </c>
      <c r="F12" s="42">
        <v>30</v>
      </c>
      <c r="G12" s="44">
        <v>45762</v>
      </c>
      <c r="H12" s="42">
        <v>9</v>
      </c>
      <c r="I12" s="41">
        <v>45762</v>
      </c>
      <c r="J12" s="42">
        <v>3.8</v>
      </c>
      <c r="K12" s="42">
        <v>24.1</v>
      </c>
      <c r="L12" s="42">
        <v>2.3618000000000001</v>
      </c>
      <c r="M12" s="42">
        <v>3.6135999999999999</v>
      </c>
      <c r="N12" s="50">
        <v>2.0299999999999998</v>
      </c>
    </row>
    <row r="13" spans="1:14" x14ac:dyDescent="0.3">
      <c r="A13" s="49" t="s">
        <v>338</v>
      </c>
      <c r="B13" s="42" t="s">
        <v>51</v>
      </c>
      <c r="C13" s="67" t="str">
        <f>'Muestras Tintas'!C62</f>
        <v>Cachapoal</v>
      </c>
      <c r="D13" s="42" t="s">
        <v>122</v>
      </c>
      <c r="E13" s="42">
        <v>42</v>
      </c>
      <c r="F13" s="42">
        <v>30</v>
      </c>
      <c r="G13" s="43">
        <v>45777</v>
      </c>
      <c r="H13" s="42">
        <v>10</v>
      </c>
      <c r="I13" s="41">
        <v>45777</v>
      </c>
      <c r="J13" s="42">
        <v>3.88</v>
      </c>
      <c r="K13" s="42">
        <v>24.7</v>
      </c>
      <c r="L13" s="42">
        <v>2.3128000000000002</v>
      </c>
      <c r="M13" s="42">
        <v>3.5386000000000002</v>
      </c>
      <c r="N13" s="50">
        <v>2.08</v>
      </c>
    </row>
    <row r="14" spans="1:14" x14ac:dyDescent="0.3">
      <c r="A14" s="51" t="s">
        <v>339</v>
      </c>
      <c r="B14" s="52" t="s">
        <v>51</v>
      </c>
      <c r="C14" s="70" t="str">
        <f>'Muestras Tintas'!C63</f>
        <v>Cachapoal</v>
      </c>
      <c r="D14" s="52" t="s">
        <v>122</v>
      </c>
      <c r="E14" s="52">
        <v>42</v>
      </c>
      <c r="F14" s="52">
        <v>30</v>
      </c>
      <c r="G14" s="53">
        <v>45790</v>
      </c>
      <c r="H14" s="52">
        <v>11</v>
      </c>
      <c r="I14" s="54">
        <v>45790</v>
      </c>
      <c r="J14" s="52">
        <v>3.84</v>
      </c>
      <c r="K14" s="52">
        <v>24.9</v>
      </c>
      <c r="L14" s="52">
        <v>2.2785000000000002</v>
      </c>
      <c r="M14" s="52">
        <v>3.4861</v>
      </c>
      <c r="N14" s="55">
        <v>1.77</v>
      </c>
    </row>
    <row r="16" spans="1:14" x14ac:dyDescent="0.3">
      <c r="A16" s="61">
        <v>2026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2"/>
    </row>
    <row r="17" spans="1:14" x14ac:dyDescent="0.3">
      <c r="A17" s="37" t="s">
        <v>0</v>
      </c>
      <c r="B17" s="26" t="s">
        <v>1</v>
      </c>
      <c r="C17" s="26" t="s">
        <v>225</v>
      </c>
      <c r="D17" s="26" t="s">
        <v>3</v>
      </c>
      <c r="E17" s="26" t="s">
        <v>4</v>
      </c>
      <c r="F17" s="26" t="s">
        <v>5</v>
      </c>
      <c r="G17" s="26" t="s">
        <v>226</v>
      </c>
      <c r="H17" s="26" t="s">
        <v>227</v>
      </c>
      <c r="I17" s="26" t="s">
        <v>228</v>
      </c>
      <c r="J17" s="26" t="s">
        <v>8</v>
      </c>
      <c r="K17" s="38" t="s">
        <v>9</v>
      </c>
      <c r="L17" s="26" t="s">
        <v>12</v>
      </c>
      <c r="M17" s="7" t="s">
        <v>13</v>
      </c>
      <c r="N17" s="39" t="s">
        <v>16</v>
      </c>
    </row>
    <row r="18" spans="1:14" x14ac:dyDescent="0.3">
      <c r="A18" s="63" t="str">
        <f>'Muestras Tintas'!A71</f>
        <v>CA26PSAC42-H30-1</v>
      </c>
      <c r="B18" s="64" t="str">
        <f>'Muestras Tintas'!B71</f>
        <v>Carmenere</v>
      </c>
      <c r="C18" s="64" t="str">
        <f>'Muestras Tintas'!C71</f>
        <v>Colchagua</v>
      </c>
      <c r="D18" s="64" t="str">
        <f>'Muestras Tintas'!D71</f>
        <v>PALO SANTO</v>
      </c>
      <c r="E18" s="64">
        <f>'Muestras Tintas'!E71</f>
        <v>42</v>
      </c>
      <c r="F18" s="64">
        <f>'Muestras Tintas'!F71</f>
        <v>30</v>
      </c>
      <c r="G18" s="64"/>
      <c r="H18" s="64" t="str">
        <f>'Muestras Tintas'!G71</f>
        <v>1</v>
      </c>
      <c r="I18" s="35">
        <f>'Muestras Tintas'!H71</f>
        <v>46043</v>
      </c>
      <c r="J18" s="64">
        <f>'Muestras Tintas'!I71</f>
        <v>3.33</v>
      </c>
      <c r="K18" s="64">
        <f>'Muestras Tintas'!J71</f>
        <v>15.2</v>
      </c>
      <c r="L18" s="64">
        <f>'Muestras Tintas'!L71*0.49</f>
        <v>6.1543999999999999</v>
      </c>
      <c r="M18" s="64">
        <f>'Muestras Tintas'!M71*1.53</f>
        <v>9.4162320000000008</v>
      </c>
      <c r="N18" s="65">
        <f>'Muestras Tintas'!O71/200</f>
        <v>1.14825</v>
      </c>
    </row>
    <row r="19" spans="1:14" x14ac:dyDescent="0.3">
      <c r="A19" s="66" t="str">
        <f>'Muestras Tintas'!A72</f>
        <v>CA26PSAC42-H30-2</v>
      </c>
      <c r="B19" s="67" t="str">
        <f>'Muestras Tintas'!B72</f>
        <v>Carmenere</v>
      </c>
      <c r="C19" s="67" t="str">
        <f>'Muestras Tintas'!C72</f>
        <v>Colchagua</v>
      </c>
      <c r="D19" s="67" t="str">
        <f>'Muestras Tintas'!D72</f>
        <v>PALO SANTO</v>
      </c>
      <c r="E19" s="67">
        <f>'Muestras Tintas'!E72</f>
        <v>42</v>
      </c>
      <c r="F19" s="67">
        <f>'Muestras Tintas'!F72</f>
        <v>30</v>
      </c>
      <c r="G19" s="67"/>
      <c r="H19" s="67" t="str">
        <f>'Muestras Tintas'!G72</f>
        <v>2</v>
      </c>
      <c r="I19" s="13">
        <f>'Muestras Tintas'!H72</f>
        <v>46049</v>
      </c>
      <c r="J19" s="67">
        <f>'Muestras Tintas'!I72</f>
        <v>3.18</v>
      </c>
      <c r="K19" s="67">
        <f>'Muestras Tintas'!J72</f>
        <v>15</v>
      </c>
      <c r="L19" s="67">
        <f>'Muestras Tintas'!L72*0.49</f>
        <v>8.3495999999999988</v>
      </c>
      <c r="M19" s="67">
        <f>'Muestras Tintas'!M72*1.53</f>
        <v>12.774887999999999</v>
      </c>
      <c r="N19" s="68">
        <f>'Muestras Tintas'!O72/200</f>
        <v>1.3769499999999999</v>
      </c>
    </row>
    <row r="20" spans="1:14" x14ac:dyDescent="0.3">
      <c r="A20" s="66" t="str">
        <f>'Muestras Tintas'!A73</f>
        <v>CA26PSAC42-H30-3</v>
      </c>
      <c r="B20" s="67" t="str">
        <f>'Muestras Tintas'!B73</f>
        <v>Carmenere</v>
      </c>
      <c r="C20" s="67" t="str">
        <f>'Muestras Tintas'!C73</f>
        <v>Colchagua</v>
      </c>
      <c r="D20" s="67" t="str">
        <f>'Muestras Tintas'!D73</f>
        <v>PALO SANTO</v>
      </c>
      <c r="E20" s="67">
        <f>'Muestras Tintas'!E73</f>
        <v>42</v>
      </c>
      <c r="F20" s="67">
        <f>'Muestras Tintas'!F73</f>
        <v>30</v>
      </c>
      <c r="G20" s="67"/>
      <c r="H20" s="67" t="str">
        <f>'Muestras Tintas'!G73</f>
        <v>3</v>
      </c>
      <c r="I20" s="13">
        <f>'Muestras Tintas'!H73</f>
        <v>46056</v>
      </c>
      <c r="J20" s="67">
        <f>'Muestras Tintas'!I73</f>
        <v>3.28</v>
      </c>
      <c r="K20" s="67">
        <f>'Muestras Tintas'!J73</f>
        <v>16.3</v>
      </c>
      <c r="L20" s="67">
        <f>'Muestras Tintas'!L73*0.49</f>
        <v>5.7134</v>
      </c>
      <c r="M20" s="67">
        <f>'Muestras Tintas'!M73*1.53</f>
        <v>8.7415020000000005</v>
      </c>
      <c r="N20" s="68">
        <f>'Muestras Tintas'!O73/200</f>
        <v>1.6379499999999998</v>
      </c>
    </row>
    <row r="21" spans="1:14" x14ac:dyDescent="0.3">
      <c r="A21" s="66" t="str">
        <f>'Muestras Tintas'!A74</f>
        <v>CA26PSAC42-H30-4</v>
      </c>
      <c r="B21" s="67" t="str">
        <f>'Muestras Tintas'!B74</f>
        <v>Carmenere</v>
      </c>
      <c r="C21" s="67" t="str">
        <f>'Muestras Tintas'!C74</f>
        <v>Colchagua</v>
      </c>
      <c r="D21" s="67" t="str">
        <f>'Muestras Tintas'!D74</f>
        <v>PALO SANTO</v>
      </c>
      <c r="E21" s="67">
        <f>'Muestras Tintas'!E74</f>
        <v>42</v>
      </c>
      <c r="F21" s="67">
        <f>'Muestras Tintas'!F74</f>
        <v>30</v>
      </c>
      <c r="G21" s="67"/>
      <c r="H21" s="67" t="str">
        <f>'Muestras Tintas'!G74</f>
        <v>4</v>
      </c>
      <c r="I21" s="13">
        <f>'Muestras Tintas'!H74</f>
        <v>46063</v>
      </c>
      <c r="J21" s="67">
        <f>'Muestras Tintas'!I74</f>
        <v>3.53</v>
      </c>
      <c r="K21" s="67">
        <f>'Muestras Tintas'!J74</f>
        <v>18</v>
      </c>
      <c r="L21" s="67">
        <f>'Muestras Tintas'!L74*0.49</f>
        <v>4.2923999999999998</v>
      </c>
      <c r="M21" s="67">
        <f>'Muestras Tintas'!M74*1.53</f>
        <v>6.5673719999999998</v>
      </c>
      <c r="N21" s="68">
        <f>'Muestras Tintas'!O74/200</f>
        <v>1.7230000000000001</v>
      </c>
    </row>
    <row r="22" spans="1:14" x14ac:dyDescent="0.3">
      <c r="A22" s="66" t="str">
        <f>'Muestras Tintas'!A75</f>
        <v>CA26PSAC42-H30-5</v>
      </c>
      <c r="B22" s="67" t="str">
        <f>'Muestras Tintas'!B75</f>
        <v>Carmenere</v>
      </c>
      <c r="C22" s="67" t="str">
        <f>'Muestras Tintas'!C75</f>
        <v>Colchagua</v>
      </c>
      <c r="D22" s="67" t="str">
        <f>'Muestras Tintas'!D75</f>
        <v>PALO SANTO</v>
      </c>
      <c r="E22" s="67">
        <f>'Muestras Tintas'!E75</f>
        <v>42</v>
      </c>
      <c r="F22" s="67">
        <f>'Muestras Tintas'!F75</f>
        <v>30</v>
      </c>
      <c r="G22" s="67"/>
      <c r="H22" s="67" t="str">
        <f>'Muestras Tintas'!G75</f>
        <v>5</v>
      </c>
      <c r="I22" s="13">
        <f>'Muestras Tintas'!H75</f>
        <v>46070</v>
      </c>
      <c r="J22" s="67">
        <f>'Muestras Tintas'!I75</f>
        <v>3.57</v>
      </c>
      <c r="K22" s="67">
        <f>'Muestras Tintas'!J75</f>
        <v>19.600000000000001</v>
      </c>
      <c r="L22" s="67">
        <f>'Muestras Tintas'!L75*0.49</f>
        <v>3.4887999999999999</v>
      </c>
      <c r="M22" s="67">
        <f>'Muestras Tintas'!M75*1.53</f>
        <v>5.3378639999999997</v>
      </c>
      <c r="N22" s="68">
        <f>'Muestras Tintas'!O75/200</f>
        <v>1.774</v>
      </c>
    </row>
    <row r="23" spans="1:14" x14ac:dyDescent="0.3">
      <c r="A23" s="66" t="str">
        <f>'Muestras Tintas'!A76</f>
        <v>CA26PSAC42-H30-6</v>
      </c>
      <c r="B23" s="67" t="str">
        <f>'Muestras Tintas'!B76</f>
        <v>Carmenere</v>
      </c>
      <c r="C23" s="67" t="str">
        <f>'Muestras Tintas'!C76</f>
        <v>Colchagua</v>
      </c>
      <c r="D23" s="67" t="str">
        <f>'Muestras Tintas'!D76</f>
        <v>PALO SANTO</v>
      </c>
      <c r="E23" s="67">
        <f>'Muestras Tintas'!E76</f>
        <v>42</v>
      </c>
      <c r="F23" s="67">
        <f>'Muestras Tintas'!F76</f>
        <v>30</v>
      </c>
      <c r="G23" s="67"/>
      <c r="H23" s="67" t="str">
        <f>'Muestras Tintas'!G76</f>
        <v>6</v>
      </c>
      <c r="I23" s="13">
        <f>'Muestras Tintas'!H76</f>
        <v>46077</v>
      </c>
      <c r="J23" s="67">
        <f>'Muestras Tintas'!I76</f>
        <v>3.6</v>
      </c>
      <c r="K23" s="67">
        <f>'Muestras Tintas'!J76</f>
        <v>21</v>
      </c>
      <c r="L23" s="67">
        <f>'Muestras Tintas'!L76*0.49</f>
        <v>3.234</v>
      </c>
      <c r="M23" s="67">
        <f>'Muestras Tintas'!M76*1.53</f>
        <v>4.9480199999999996</v>
      </c>
      <c r="N23" s="68">
        <f>'Muestras Tintas'!O76/200</f>
        <v>1.742</v>
      </c>
    </row>
    <row r="24" spans="1:14" x14ac:dyDescent="0.3">
      <c r="A24" s="66" t="str">
        <f>'Muestras Tintas'!A77</f>
        <v>CA26PSAC42-H30-7</v>
      </c>
      <c r="B24" s="67" t="str">
        <f>'Muestras Tintas'!B77</f>
        <v>Carmenere</v>
      </c>
      <c r="C24" s="67" t="str">
        <f>'Muestras Tintas'!C77</f>
        <v>Colchagua</v>
      </c>
      <c r="D24" s="67" t="str">
        <f>'Muestras Tintas'!D77</f>
        <v>PALO SANTO</v>
      </c>
      <c r="E24" s="67">
        <f>'Muestras Tintas'!E77</f>
        <v>42</v>
      </c>
      <c r="F24" s="67">
        <f>'Muestras Tintas'!F77</f>
        <v>30</v>
      </c>
      <c r="G24" s="67"/>
      <c r="H24" s="67" t="str">
        <f>'Muestras Tintas'!G77</f>
        <v>7</v>
      </c>
      <c r="I24" s="13">
        <f>'Muestras Tintas'!H77</f>
        <v>46084</v>
      </c>
      <c r="J24" s="67">
        <f>'Muestras Tintas'!I77</f>
        <v>3.69</v>
      </c>
      <c r="K24" s="67">
        <f>'Muestras Tintas'!J77</f>
        <v>22</v>
      </c>
      <c r="L24" s="67">
        <f>'Muestras Tintas'!L77*0.49</f>
        <v>2.8664999999999998</v>
      </c>
      <c r="M24" s="67">
        <f>'Muestras Tintas'!M77*1.53</f>
        <v>4.385745</v>
      </c>
      <c r="N24" s="68">
        <f>'Muestras Tintas'!O77/200</f>
        <v>1.8140000000000001</v>
      </c>
    </row>
    <row r="25" spans="1:14" x14ac:dyDescent="0.3">
      <c r="A25" s="66" t="str">
        <f>'Muestras Tintas'!A78</f>
        <v>CA26PSAC42-H30-8</v>
      </c>
      <c r="B25" s="67" t="str">
        <f>'Muestras Tintas'!B78</f>
        <v>Carmenere</v>
      </c>
      <c r="C25" s="67" t="str">
        <f>'Muestras Tintas'!C78</f>
        <v>Colchagua</v>
      </c>
      <c r="D25" s="67" t="str">
        <f>'Muestras Tintas'!D78</f>
        <v>PALO SANTO</v>
      </c>
      <c r="E25" s="67">
        <f>'Muestras Tintas'!E78</f>
        <v>42</v>
      </c>
      <c r="F25" s="67">
        <f>'Muestras Tintas'!F78</f>
        <v>30</v>
      </c>
      <c r="G25" s="67"/>
      <c r="H25" s="67" t="str">
        <f>'Muestras Tintas'!G78</f>
        <v>8</v>
      </c>
      <c r="I25" s="13">
        <f>'Muestras Tintas'!H78</f>
        <v>46091</v>
      </c>
      <c r="J25" s="67">
        <f>'Muestras Tintas'!I78</f>
        <v>3.7</v>
      </c>
      <c r="K25" s="67">
        <f>'Muestras Tintas'!J78</f>
        <v>23.1</v>
      </c>
      <c r="L25" s="67">
        <f>'Muestras Tintas'!L78*0.49</f>
        <v>2.4597999999999995</v>
      </c>
      <c r="M25" s="67">
        <f>'Muestras Tintas'!M78*1.53</f>
        <v>3.7634939999999992</v>
      </c>
      <c r="N25" s="68">
        <f>'Muestras Tintas'!O78/200</f>
        <v>1.6759999999999999</v>
      </c>
    </row>
    <row r="26" spans="1:14" x14ac:dyDescent="0.3">
      <c r="A26" s="66" t="str">
        <f>'Muestras Tintas'!A79</f>
        <v>CA26PSAC42-H30-9</v>
      </c>
      <c r="B26" s="67" t="str">
        <f>'Muestras Tintas'!B79</f>
        <v>Carmenere</v>
      </c>
      <c r="C26" s="67" t="str">
        <f>'Muestras Tintas'!C79</f>
        <v>Colchagua</v>
      </c>
      <c r="D26" s="67" t="str">
        <f>'Muestras Tintas'!D79</f>
        <v>PALO SANTO</v>
      </c>
      <c r="E26" s="67">
        <f>'Muestras Tintas'!E79</f>
        <v>42</v>
      </c>
      <c r="F26" s="67">
        <f>'Muestras Tintas'!F79</f>
        <v>30</v>
      </c>
      <c r="G26" s="67"/>
      <c r="H26" s="67" t="str">
        <f>'Muestras Tintas'!G79</f>
        <v>9</v>
      </c>
      <c r="I26" s="13">
        <f>'Muestras Tintas'!H79</f>
        <v>46098</v>
      </c>
      <c r="J26" s="67">
        <f>'Muestras Tintas'!I79</f>
        <v>3.78</v>
      </c>
      <c r="K26" s="67">
        <f>'Muestras Tintas'!J79</f>
        <v>22.8</v>
      </c>
      <c r="L26" s="67">
        <f>'Muestras Tintas'!L79*0.49</f>
        <v>2.1854</v>
      </c>
      <c r="M26" s="67">
        <f>'Muestras Tintas'!M79*1.53</f>
        <v>3.3436620000000001</v>
      </c>
      <c r="N26" s="68">
        <f>'Muestras Tintas'!O79/200</f>
        <v>1.83</v>
      </c>
    </row>
    <row r="27" spans="1:14" x14ac:dyDescent="0.3">
      <c r="A27" s="66" t="str">
        <f>'Muestras Tintas'!A80</f>
        <v>CA26PSAC42-H30-10</v>
      </c>
      <c r="B27" s="67" t="str">
        <f>'Muestras Tintas'!B80</f>
        <v>Carmenere</v>
      </c>
      <c r="C27" s="67" t="str">
        <f>'Muestras Tintas'!C80</f>
        <v>Colchagua</v>
      </c>
      <c r="D27" s="67" t="str">
        <f>'Muestras Tintas'!D80</f>
        <v>PALO SANTO</v>
      </c>
      <c r="E27" s="67">
        <f>'Muestras Tintas'!E80</f>
        <v>42</v>
      </c>
      <c r="F27" s="67">
        <f>'Muestras Tintas'!F80</f>
        <v>30</v>
      </c>
      <c r="G27" s="67"/>
      <c r="H27" s="67">
        <f>'Muestras Tintas'!G80</f>
        <v>10</v>
      </c>
      <c r="I27" s="13" t="str">
        <f>'Muestras Tintas'!H80</f>
        <v>-</v>
      </c>
      <c r="J27" s="67">
        <f>'Muestras Tintas'!I80</f>
        <v>3.78</v>
      </c>
      <c r="K27" s="67">
        <f>'Muestras Tintas'!J80</f>
        <v>23.2</v>
      </c>
      <c r="L27" s="67">
        <f>'Muestras Tintas'!L80*0.49</f>
        <v>2.1608999999999998</v>
      </c>
      <c r="M27" s="67">
        <f>'Muestras Tintas'!M80*1.53</f>
        <v>3.3061769999999999</v>
      </c>
      <c r="N27" s="68">
        <f>'Muestras Tintas'!O80/200</f>
        <v>1.8149999999999999</v>
      </c>
    </row>
    <row r="28" spans="1:14" x14ac:dyDescent="0.3">
      <c r="A28" s="66" t="str">
        <f>'Muestras Tintas'!A81</f>
        <v>CA26PSAC42-H30-11</v>
      </c>
      <c r="B28" s="67" t="str">
        <f>'Muestras Tintas'!B81</f>
        <v>Carmenere</v>
      </c>
      <c r="C28" s="67" t="str">
        <f>'Muestras Tintas'!C81</f>
        <v>Colchagua</v>
      </c>
      <c r="D28" s="67" t="str">
        <f>'Muestras Tintas'!D81</f>
        <v>PALO SANTO</v>
      </c>
      <c r="E28" s="67">
        <f>'Muestras Tintas'!E81</f>
        <v>42</v>
      </c>
      <c r="F28" s="67">
        <f>'Muestras Tintas'!F81</f>
        <v>30</v>
      </c>
      <c r="G28" s="67"/>
      <c r="H28" s="67">
        <f>'Muestras Tintas'!G81</f>
        <v>11</v>
      </c>
      <c r="I28" s="13">
        <f>'Muestras Tintas'!H81</f>
        <v>46112</v>
      </c>
      <c r="J28" s="67">
        <f>'Muestras Tintas'!I81</f>
        <v>3.9</v>
      </c>
      <c r="K28" s="67">
        <f>'Muestras Tintas'!J81</f>
        <v>24.3</v>
      </c>
      <c r="L28" s="67">
        <f>'Muestras Tintas'!L81*0.49</f>
        <v>1.9355</v>
      </c>
      <c r="M28" s="67">
        <f>'Muestras Tintas'!M81*1.53</f>
        <v>2.9613149999999999</v>
      </c>
      <c r="N28" s="68">
        <f>'Muestras Tintas'!O81/200</f>
        <v>1.6380000000000001</v>
      </c>
    </row>
    <row r="29" spans="1:14" x14ac:dyDescent="0.3">
      <c r="A29" s="66" t="str">
        <f>'Muestras Tintas'!A82</f>
        <v>CA26PSAC42-H30-12</v>
      </c>
      <c r="B29" s="67" t="str">
        <f>'Muestras Tintas'!B82</f>
        <v>Carmenere</v>
      </c>
      <c r="C29" s="67" t="str">
        <f>'Muestras Tintas'!C82</f>
        <v>Colchagua</v>
      </c>
      <c r="D29" s="67" t="str">
        <f>'Muestras Tintas'!D82</f>
        <v>PALO SANTO</v>
      </c>
      <c r="E29" s="67">
        <f>'Muestras Tintas'!E82</f>
        <v>42</v>
      </c>
      <c r="F29" s="67">
        <f>'Muestras Tintas'!F82</f>
        <v>30</v>
      </c>
      <c r="G29" s="67"/>
      <c r="H29" s="67">
        <f>'Muestras Tintas'!G82</f>
        <v>12</v>
      </c>
      <c r="I29" s="13">
        <f>'Muestras Tintas'!H82</f>
        <v>46119</v>
      </c>
      <c r="J29" s="67">
        <f>'Muestras Tintas'!I82</f>
        <v>3.92</v>
      </c>
      <c r="K29" s="67">
        <f>'Muestras Tintas'!J82</f>
        <v>24.7</v>
      </c>
      <c r="L29" s="67">
        <f>'Muestras Tintas'!L82*0.49</f>
        <v>1.9012</v>
      </c>
      <c r="M29" s="67">
        <f>'Muestras Tintas'!M82*1.53</f>
        <v>2.908836</v>
      </c>
      <c r="N29" s="68">
        <f>'Muestras Tintas'!O82/200</f>
        <v>1.5149999999999999</v>
      </c>
    </row>
    <row r="30" spans="1:14" x14ac:dyDescent="0.3">
      <c r="A30" s="66" t="str">
        <f>'Muestras Tintas'!A83</f>
        <v>CA26PSAC42-H30-13</v>
      </c>
      <c r="B30" s="67" t="str">
        <f>'Muestras Tintas'!B83</f>
        <v>Carmenere</v>
      </c>
      <c r="C30" s="67" t="str">
        <f>'Muestras Tintas'!C83</f>
        <v>Colchagua</v>
      </c>
      <c r="D30" s="67" t="str">
        <f>'Muestras Tintas'!D83</f>
        <v>PALO SANTO</v>
      </c>
      <c r="E30" s="67">
        <f>'Muestras Tintas'!E83</f>
        <v>42</v>
      </c>
      <c r="F30" s="67">
        <f>'Muestras Tintas'!F83</f>
        <v>30</v>
      </c>
      <c r="G30" s="67"/>
      <c r="H30" s="67">
        <f>'Muestras Tintas'!G83</f>
        <v>13</v>
      </c>
      <c r="I30" s="13">
        <f>'Muestras Tintas'!H83</f>
        <v>46126</v>
      </c>
      <c r="J30" s="67">
        <f>'Muestras Tintas'!I83</f>
        <v>4.18</v>
      </c>
      <c r="K30" s="67">
        <f>'Muestras Tintas'!J83</f>
        <v>25.8</v>
      </c>
      <c r="L30" s="67">
        <f>'Muestras Tintas'!L83*0.49</f>
        <v>1.8914</v>
      </c>
      <c r="M30" s="67">
        <f>'Muestras Tintas'!M83*1.53</f>
        <v>2.8938419999999998</v>
      </c>
      <c r="N30" s="68">
        <f>'Muestras Tintas'!O83/200</f>
        <v>1.5385</v>
      </c>
    </row>
    <row r="31" spans="1:14" x14ac:dyDescent="0.3">
      <c r="A31" s="69" t="str">
        <f>'Muestras Tintas'!A84</f>
        <v>CA26PSAC42-H30-14</v>
      </c>
      <c r="B31" s="70" t="str">
        <f>'Muestras Tintas'!B84</f>
        <v>Carmenere</v>
      </c>
      <c r="C31" s="70" t="str">
        <f>'Muestras Tintas'!C84</f>
        <v>Colchagua</v>
      </c>
      <c r="D31" s="70" t="str">
        <f>'Muestras Tintas'!D84</f>
        <v>PALO SANTO</v>
      </c>
      <c r="E31" s="70">
        <f>'Muestras Tintas'!E84</f>
        <v>42</v>
      </c>
      <c r="F31" s="70">
        <f>'Muestras Tintas'!F84</f>
        <v>30</v>
      </c>
      <c r="G31" s="70"/>
      <c r="H31" s="70">
        <f>'Muestras Tintas'!G84</f>
        <v>14</v>
      </c>
      <c r="I31" s="40">
        <f>'Muestras Tintas'!H84</f>
        <v>46132</v>
      </c>
      <c r="J31" s="70">
        <f>'Muestras Tintas'!I84</f>
        <v>3.98</v>
      </c>
      <c r="K31" s="70">
        <f>'Muestras Tintas'!J84</f>
        <v>26.3</v>
      </c>
      <c r="L31" s="70">
        <f>'Muestras Tintas'!L84*0.49</f>
        <v>2.0089999999999999</v>
      </c>
      <c r="M31" s="70">
        <f>'Muestras Tintas'!M84*1.53</f>
        <v>3.0737700000000001</v>
      </c>
      <c r="N31" s="71">
        <f>'Muestras Tintas'!O84/200</f>
        <v>1.5519999999999998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AA17-D5E7-4205-8783-235FFC70844E}">
  <sheetPr codeName="Hoja12"/>
  <dimension ref="A2:N26"/>
  <sheetViews>
    <sheetView tabSelected="1" workbookViewId="0">
      <selection activeCell="I29" sqref="I29"/>
    </sheetView>
  </sheetViews>
  <sheetFormatPr baseColWidth="10" defaultColWidth="8.88671875" defaultRowHeight="14.4" x14ac:dyDescent="0.3"/>
  <cols>
    <col min="1" max="1" width="21.88671875" bestFit="1" customWidth="1"/>
    <col min="2" max="2" width="18.5546875" bestFit="1" customWidth="1"/>
    <col min="4" max="4" width="19.554687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7" t="s">
        <v>13</v>
      </c>
      <c r="N3" s="39" t="s">
        <v>16</v>
      </c>
    </row>
    <row r="4" spans="1:14" x14ac:dyDescent="0.3">
      <c r="A4" s="45" t="s">
        <v>340</v>
      </c>
      <c r="B4" s="46" t="s">
        <v>19</v>
      </c>
      <c r="C4" s="46" t="s">
        <v>139</v>
      </c>
      <c r="D4" s="46" t="s">
        <v>140</v>
      </c>
      <c r="E4" s="46">
        <v>40</v>
      </c>
      <c r="F4" s="46">
        <v>152</v>
      </c>
      <c r="G4" s="46" t="s">
        <v>309</v>
      </c>
      <c r="H4" s="46">
        <v>1</v>
      </c>
      <c r="I4" s="47">
        <v>45694</v>
      </c>
      <c r="J4" s="46">
        <v>2.82</v>
      </c>
      <c r="K4" s="46">
        <v>18.3</v>
      </c>
      <c r="L4" s="46">
        <v>9.9274000000000004</v>
      </c>
      <c r="M4" s="46">
        <v>15.1889</v>
      </c>
      <c r="N4" s="48">
        <v>1.44</v>
      </c>
    </row>
    <row r="5" spans="1:14" x14ac:dyDescent="0.3">
      <c r="A5" s="49" t="s">
        <v>341</v>
      </c>
      <c r="B5" s="42" t="s">
        <v>19</v>
      </c>
      <c r="C5" s="42" t="s">
        <v>139</v>
      </c>
      <c r="D5" s="42" t="s">
        <v>140</v>
      </c>
      <c r="E5" s="42">
        <v>40</v>
      </c>
      <c r="F5" s="42">
        <v>152</v>
      </c>
      <c r="G5" s="42"/>
      <c r="H5" s="42">
        <v>2</v>
      </c>
      <c r="I5" s="41">
        <v>45700</v>
      </c>
      <c r="J5" s="42">
        <v>2.84</v>
      </c>
      <c r="K5" s="42">
        <v>19.100000000000001</v>
      </c>
      <c r="L5" s="42">
        <v>9.0747999999999998</v>
      </c>
      <c r="M5" s="42">
        <v>13.884399999999999</v>
      </c>
      <c r="N5" s="50">
        <v>1.19</v>
      </c>
    </row>
    <row r="6" spans="1:14" x14ac:dyDescent="0.3">
      <c r="A6" s="49" t="s">
        <v>342</v>
      </c>
      <c r="B6" s="42" t="s">
        <v>19</v>
      </c>
      <c r="C6" s="42" t="s">
        <v>139</v>
      </c>
      <c r="D6" s="42" t="s">
        <v>140</v>
      </c>
      <c r="E6" s="42">
        <v>40</v>
      </c>
      <c r="F6" s="42">
        <v>152</v>
      </c>
      <c r="G6" s="42"/>
      <c r="H6" s="42">
        <v>3</v>
      </c>
      <c r="I6" s="41">
        <v>45707</v>
      </c>
      <c r="J6" s="42">
        <v>2.98</v>
      </c>
      <c r="K6" s="42">
        <v>20.9</v>
      </c>
      <c r="L6" s="42">
        <v>6.7717999999999998</v>
      </c>
      <c r="M6" s="42">
        <v>10.360900000000001</v>
      </c>
      <c r="N6" s="50">
        <v>1.43</v>
      </c>
    </row>
    <row r="7" spans="1:14" x14ac:dyDescent="0.3">
      <c r="A7" s="49" t="s">
        <v>343</v>
      </c>
      <c r="B7" s="42" t="s">
        <v>19</v>
      </c>
      <c r="C7" s="42" t="s">
        <v>139</v>
      </c>
      <c r="D7" s="42" t="s">
        <v>140</v>
      </c>
      <c r="E7" s="42">
        <v>40</v>
      </c>
      <c r="F7" s="42">
        <v>152</v>
      </c>
      <c r="G7" s="42"/>
      <c r="H7" s="42">
        <v>4</v>
      </c>
      <c r="I7" s="41">
        <v>45714</v>
      </c>
      <c r="J7" s="42">
        <v>3</v>
      </c>
      <c r="K7" s="42">
        <v>21.9</v>
      </c>
      <c r="L7" s="42">
        <v>5.7918000000000003</v>
      </c>
      <c r="M7" s="42">
        <v>8.8614999999999995</v>
      </c>
      <c r="N7" s="50">
        <v>1.46</v>
      </c>
    </row>
    <row r="8" spans="1:14" x14ac:dyDescent="0.3">
      <c r="A8" s="49" t="s">
        <v>344</v>
      </c>
      <c r="B8" s="42" t="s">
        <v>19</v>
      </c>
      <c r="C8" s="42" t="s">
        <v>139</v>
      </c>
      <c r="D8" s="42" t="s">
        <v>140</v>
      </c>
      <c r="E8" s="42">
        <v>40</v>
      </c>
      <c r="F8" s="42">
        <v>152</v>
      </c>
      <c r="G8" s="44">
        <v>45721</v>
      </c>
      <c r="H8" s="42">
        <v>5</v>
      </c>
      <c r="I8" s="41">
        <v>45721</v>
      </c>
      <c r="J8" s="42">
        <v>3.2</v>
      </c>
      <c r="K8" s="42">
        <v>23.1</v>
      </c>
      <c r="L8" s="42">
        <v>5.7427999999999999</v>
      </c>
      <c r="M8" s="42">
        <v>8.7865000000000002</v>
      </c>
      <c r="N8" s="50">
        <v>1.92</v>
      </c>
    </row>
    <row r="9" spans="1:14" x14ac:dyDescent="0.3">
      <c r="A9" s="49" t="s">
        <v>345</v>
      </c>
      <c r="B9" s="42" t="s">
        <v>19</v>
      </c>
      <c r="C9" s="42" t="s">
        <v>139</v>
      </c>
      <c r="D9" s="42" t="s">
        <v>140</v>
      </c>
      <c r="E9" s="42">
        <v>40</v>
      </c>
      <c r="F9" s="42">
        <v>152</v>
      </c>
      <c r="G9" s="44">
        <v>45728</v>
      </c>
      <c r="H9" s="42">
        <v>6</v>
      </c>
      <c r="I9" s="41">
        <v>45728</v>
      </c>
      <c r="J9" s="42">
        <v>3.27</v>
      </c>
      <c r="K9" s="42">
        <v>23.8</v>
      </c>
      <c r="L9" s="42">
        <v>5.7232000000000003</v>
      </c>
      <c r="M9" s="42">
        <v>8.7565000000000008</v>
      </c>
      <c r="N9" s="50">
        <v>1.7</v>
      </c>
    </row>
    <row r="10" spans="1:14" x14ac:dyDescent="0.3">
      <c r="A10" s="49" t="s">
        <v>346</v>
      </c>
      <c r="B10" s="42" t="s">
        <v>19</v>
      </c>
      <c r="C10" s="42" t="s">
        <v>139</v>
      </c>
      <c r="D10" s="42" t="s">
        <v>140</v>
      </c>
      <c r="E10" s="42">
        <v>40</v>
      </c>
      <c r="F10" s="42">
        <v>152</v>
      </c>
      <c r="G10" s="44">
        <v>45735</v>
      </c>
      <c r="H10" s="42">
        <v>7</v>
      </c>
      <c r="I10" s="41">
        <v>45735</v>
      </c>
      <c r="J10" s="42">
        <v>3.28</v>
      </c>
      <c r="K10" s="42">
        <v>24</v>
      </c>
      <c r="L10" s="42">
        <v>5.3164999999999996</v>
      </c>
      <c r="M10" s="42">
        <v>8.1341999999999999</v>
      </c>
      <c r="N10" s="50">
        <v>1.8</v>
      </c>
    </row>
    <row r="11" spans="1:14" x14ac:dyDescent="0.3">
      <c r="A11" s="49" t="s">
        <v>347</v>
      </c>
      <c r="B11" s="42" t="s">
        <v>19</v>
      </c>
      <c r="C11" s="42" t="s">
        <v>139</v>
      </c>
      <c r="D11" s="42" t="s">
        <v>140</v>
      </c>
      <c r="E11" s="42">
        <v>40</v>
      </c>
      <c r="F11" s="42">
        <v>152</v>
      </c>
      <c r="G11" s="44">
        <v>45743</v>
      </c>
      <c r="H11" s="42">
        <v>8</v>
      </c>
      <c r="I11" s="41">
        <v>45743</v>
      </c>
      <c r="J11" s="42">
        <v>3.37</v>
      </c>
      <c r="K11" s="42">
        <v>24.7</v>
      </c>
      <c r="L11" s="42">
        <v>4.6795</v>
      </c>
      <c r="M11" s="42">
        <v>7.1596000000000002</v>
      </c>
      <c r="N11" s="50">
        <v>1.69</v>
      </c>
    </row>
    <row r="12" spans="1:14" x14ac:dyDescent="0.3">
      <c r="A12" s="49" t="s">
        <v>348</v>
      </c>
      <c r="B12" s="42" t="s">
        <v>19</v>
      </c>
      <c r="C12" s="42" t="s">
        <v>139</v>
      </c>
      <c r="D12" s="42" t="s">
        <v>140</v>
      </c>
      <c r="E12" s="42">
        <v>40</v>
      </c>
      <c r="F12" s="42">
        <v>152</v>
      </c>
      <c r="G12" s="44">
        <v>45720</v>
      </c>
      <c r="H12" s="42">
        <v>9</v>
      </c>
      <c r="I12" s="41">
        <v>45750</v>
      </c>
      <c r="J12" s="42">
        <v>3.29</v>
      </c>
      <c r="K12" s="42">
        <v>25.1</v>
      </c>
      <c r="L12" s="42">
        <v>4.6207000000000003</v>
      </c>
      <c r="M12" s="42">
        <v>7.0697000000000001</v>
      </c>
      <c r="N12" s="50">
        <v>1.66</v>
      </c>
    </row>
    <row r="13" spans="1:14" x14ac:dyDescent="0.3">
      <c r="A13" s="51" t="s">
        <v>349</v>
      </c>
      <c r="B13" s="52" t="s">
        <v>19</v>
      </c>
      <c r="C13" s="52" t="s">
        <v>139</v>
      </c>
      <c r="D13" s="52" t="s">
        <v>140</v>
      </c>
      <c r="E13" s="52">
        <v>40</v>
      </c>
      <c r="F13" s="52">
        <v>152</v>
      </c>
      <c r="G13" s="53">
        <v>45934</v>
      </c>
      <c r="H13" s="52">
        <v>10</v>
      </c>
      <c r="I13" s="54">
        <v>45757</v>
      </c>
      <c r="J13" s="52">
        <v>3.35</v>
      </c>
      <c r="K13" s="52">
        <v>25.3</v>
      </c>
      <c r="L13" s="52">
        <v>4.6158000000000001</v>
      </c>
      <c r="M13" s="52">
        <v>7.0621999999999998</v>
      </c>
      <c r="N13" s="55">
        <v>1.76</v>
      </c>
    </row>
    <row r="15" spans="1:14" x14ac:dyDescent="0.3">
      <c r="A15" s="23">
        <v>2026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"/>
    </row>
    <row r="16" spans="1:14" x14ac:dyDescent="0.3">
      <c r="A16" s="37" t="s">
        <v>0</v>
      </c>
      <c r="B16" s="26" t="s">
        <v>1</v>
      </c>
      <c r="C16" s="26" t="s">
        <v>225</v>
      </c>
      <c r="D16" s="26" t="s">
        <v>3</v>
      </c>
      <c r="E16" s="26" t="s">
        <v>4</v>
      </c>
      <c r="F16" s="26" t="s">
        <v>5</v>
      </c>
      <c r="G16" s="26" t="s">
        <v>226</v>
      </c>
      <c r="H16" s="26" t="s">
        <v>227</v>
      </c>
      <c r="I16" s="26" t="s">
        <v>228</v>
      </c>
      <c r="J16" s="26" t="s">
        <v>8</v>
      </c>
      <c r="K16" s="38" t="s">
        <v>9</v>
      </c>
      <c r="L16" s="26" t="s">
        <v>12</v>
      </c>
      <c r="M16" s="7" t="s">
        <v>13</v>
      </c>
      <c r="N16" s="39" t="s">
        <v>16</v>
      </c>
    </row>
    <row r="17" spans="1:14" x14ac:dyDescent="0.3">
      <c r="A17" s="27" t="str">
        <f>'Muestras Tintas'!A86</f>
        <v>CS26QAGC40-H152-1</v>
      </c>
      <c r="B17" s="28" t="str">
        <f>'Muestras Tintas'!B86</f>
        <v>Cabernet Sauvignon</v>
      </c>
      <c r="C17" s="28" t="str">
        <f>'Muestras Tintas'!C86</f>
        <v>Maule</v>
      </c>
      <c r="D17" s="28" t="str">
        <f>'Muestras Tintas'!D86</f>
        <v>QUEBRADA DE AGUA</v>
      </c>
      <c r="E17" s="28">
        <f>'Muestras Tintas'!E86</f>
        <v>40</v>
      </c>
      <c r="F17" s="28">
        <f>'Muestras Tintas'!F86</f>
        <v>152</v>
      </c>
      <c r="G17" s="28"/>
      <c r="H17" s="28" t="str">
        <f>'Muestras Tintas'!G86</f>
        <v>1</v>
      </c>
      <c r="I17" s="47">
        <f>'Muestras Tintas'!H86</f>
        <v>46044</v>
      </c>
      <c r="J17" s="28">
        <f>'Muestras Tintas'!I86</f>
        <v>2.79</v>
      </c>
      <c r="K17" s="28">
        <f>'Muestras Tintas'!J86</f>
        <v>14.1</v>
      </c>
      <c r="L17" s="28">
        <f>'Muestras Tintas'!L86*0.49</f>
        <v>13.769</v>
      </c>
      <c r="M17" s="28">
        <f>'Muestras Tintas'!M86*1.53</f>
        <v>21.066570000000002</v>
      </c>
      <c r="N17" s="58">
        <f>'Muestras Tintas'!O86/200</f>
        <v>1.0383499999999999</v>
      </c>
    </row>
    <row r="18" spans="1:14" x14ac:dyDescent="0.3">
      <c r="A18" s="29" t="str">
        <f>'Muestras Tintas'!A87</f>
        <v>CS26QAGC40-H152-2</v>
      </c>
      <c r="B18" s="30" t="str">
        <f>'Muestras Tintas'!B87</f>
        <v>Cabernet Sauvignon</v>
      </c>
      <c r="C18" s="30" t="str">
        <f>'Muestras Tintas'!C87</f>
        <v>Maule</v>
      </c>
      <c r="D18" s="30" t="str">
        <f>'Muestras Tintas'!D87</f>
        <v>QUEBRADA DE AGUA</v>
      </c>
      <c r="E18" s="30">
        <f>'Muestras Tintas'!E87</f>
        <v>40</v>
      </c>
      <c r="F18" s="30">
        <f>'Muestras Tintas'!F87</f>
        <v>152</v>
      </c>
      <c r="G18" s="30"/>
      <c r="H18" s="30" t="str">
        <f>'Muestras Tintas'!G87</f>
        <v>2</v>
      </c>
      <c r="I18" s="41">
        <f>'Muestras Tintas'!H87</f>
        <v>46050</v>
      </c>
      <c r="J18" s="30">
        <f>'Muestras Tintas'!I87</f>
        <v>2.85</v>
      </c>
      <c r="K18" s="30">
        <f>'Muestras Tintas'!J87</f>
        <v>15.7</v>
      </c>
      <c r="L18" s="30">
        <f>'Muestras Tintas'!L87*0.49</f>
        <v>13.1418</v>
      </c>
      <c r="M18" s="30">
        <f>'Muestras Tintas'!M87*1.53</f>
        <v>20.106954000000002</v>
      </c>
      <c r="N18" s="59">
        <f>'Muestras Tintas'!O87/200</f>
        <v>1.1756</v>
      </c>
    </row>
    <row r="19" spans="1:14" x14ac:dyDescent="0.3">
      <c r="A19" s="29" t="str">
        <f>'Muestras Tintas'!A88</f>
        <v>CS26QAGC40-H152-3</v>
      </c>
      <c r="B19" s="30" t="str">
        <f>'Muestras Tintas'!B88</f>
        <v>Cabernet Sauvignon</v>
      </c>
      <c r="C19" s="30" t="str">
        <f>'Muestras Tintas'!C88</f>
        <v>Maule</v>
      </c>
      <c r="D19" s="30" t="str">
        <f>'Muestras Tintas'!D88</f>
        <v>QUEBRADA DE AGUA</v>
      </c>
      <c r="E19" s="30">
        <f>'Muestras Tintas'!E88</f>
        <v>40</v>
      </c>
      <c r="F19" s="30">
        <f>'Muestras Tintas'!F88</f>
        <v>152</v>
      </c>
      <c r="G19" s="30"/>
      <c r="H19" s="30" t="str">
        <f>'Muestras Tintas'!G88</f>
        <v>3</v>
      </c>
      <c r="I19" s="41">
        <f>'Muestras Tintas'!H88</f>
        <v>46058</v>
      </c>
      <c r="J19" s="30">
        <f>'Muestras Tintas'!I88</f>
        <v>2.95</v>
      </c>
      <c r="K19" s="30">
        <f>'Muestras Tintas'!J88</f>
        <v>17.5</v>
      </c>
      <c r="L19" s="30">
        <f>'Muestras Tintas'!L88*0.49</f>
        <v>10.0548</v>
      </c>
      <c r="M19" s="30">
        <f>'Muestras Tintas'!M88*1.53</f>
        <v>15.383844</v>
      </c>
      <c r="N19" s="59">
        <f>'Muestras Tintas'!O88/200</f>
        <v>1.2905000000000002</v>
      </c>
    </row>
    <row r="20" spans="1:14" x14ac:dyDescent="0.3">
      <c r="A20" s="29" t="str">
        <f>'Muestras Tintas'!A89</f>
        <v>CS26QAGC40-H152-4</v>
      </c>
      <c r="B20" s="30" t="str">
        <f>'Muestras Tintas'!B89</f>
        <v>Cabernet Sauvignon</v>
      </c>
      <c r="C20" s="30" t="str">
        <f>'Muestras Tintas'!C89</f>
        <v>Maule</v>
      </c>
      <c r="D20" s="30" t="str">
        <f>'Muestras Tintas'!D89</f>
        <v>QUEBRADA DE AGUA</v>
      </c>
      <c r="E20" s="30">
        <f>'Muestras Tintas'!E89</f>
        <v>40</v>
      </c>
      <c r="F20" s="30">
        <f>'Muestras Tintas'!F89</f>
        <v>152</v>
      </c>
      <c r="G20" s="30"/>
      <c r="H20" s="30" t="str">
        <f>'Muestras Tintas'!G89</f>
        <v>4</v>
      </c>
      <c r="I20" s="41">
        <f>'Muestras Tintas'!H89</f>
        <v>46065</v>
      </c>
      <c r="J20" s="30">
        <f>'Muestras Tintas'!I89</f>
        <v>3.04</v>
      </c>
      <c r="K20" s="30">
        <f>'Muestras Tintas'!J89</f>
        <v>19</v>
      </c>
      <c r="L20" s="30">
        <f>'Muestras Tintas'!L89*0.49</f>
        <v>9.0258000000000003</v>
      </c>
      <c r="M20" s="30">
        <f>'Muestras Tintas'!M89*1.53</f>
        <v>13.809474</v>
      </c>
      <c r="N20" s="59">
        <f>'Muestras Tintas'!O89/200</f>
        <v>1.3365</v>
      </c>
    </row>
    <row r="21" spans="1:14" x14ac:dyDescent="0.3">
      <c r="A21" s="29" t="str">
        <f>'Muestras Tintas'!A90</f>
        <v>CS26QAGC40-H152-5</v>
      </c>
      <c r="B21" s="30" t="str">
        <f>'Muestras Tintas'!B90</f>
        <v>Cabernet Sauvignon</v>
      </c>
      <c r="C21" s="30" t="str">
        <f>'Muestras Tintas'!C90</f>
        <v>Maule</v>
      </c>
      <c r="D21" s="30" t="str">
        <f>'Muestras Tintas'!D90</f>
        <v>QUEBRADA DE AGUA</v>
      </c>
      <c r="E21" s="30">
        <f>'Muestras Tintas'!E90</f>
        <v>40</v>
      </c>
      <c r="F21" s="30">
        <f>'Muestras Tintas'!F90</f>
        <v>152</v>
      </c>
      <c r="G21" s="30"/>
      <c r="H21" s="30" t="str">
        <f>'Muestras Tintas'!G90</f>
        <v>5</v>
      </c>
      <c r="I21" s="41">
        <f>'Muestras Tintas'!H90</f>
        <v>46071</v>
      </c>
      <c r="J21" s="30">
        <f>'Muestras Tintas'!I90</f>
        <v>3.12</v>
      </c>
      <c r="K21" s="30">
        <f>'Muestras Tintas'!J90</f>
        <v>19.8</v>
      </c>
      <c r="L21" s="30">
        <f>'Muestras Tintas'!L90*0.49</f>
        <v>8.1438000000000006</v>
      </c>
      <c r="M21" s="30">
        <f>'Muestras Tintas'!M90*1.53</f>
        <v>12.460014000000001</v>
      </c>
      <c r="N21" s="59">
        <f>'Muestras Tintas'!O90/200</f>
        <v>1.456</v>
      </c>
    </row>
    <row r="22" spans="1:14" x14ac:dyDescent="0.3">
      <c r="A22" s="29" t="str">
        <f>'Muestras Tintas'!A91</f>
        <v>CS26QAGC40-H152-6</v>
      </c>
      <c r="B22" s="30" t="str">
        <f>'Muestras Tintas'!B91</f>
        <v>Cabernet Sauvignon</v>
      </c>
      <c r="C22" s="30" t="str">
        <f>'Muestras Tintas'!C91</f>
        <v>Maule</v>
      </c>
      <c r="D22" s="30" t="str">
        <f>'Muestras Tintas'!D91</f>
        <v>QUEBRADA DE AGUA</v>
      </c>
      <c r="E22" s="30">
        <f>'Muestras Tintas'!E91</f>
        <v>40</v>
      </c>
      <c r="F22" s="30">
        <f>'Muestras Tintas'!F91</f>
        <v>152</v>
      </c>
      <c r="G22" s="30"/>
      <c r="H22" s="30" t="str">
        <f>'Muestras Tintas'!G91</f>
        <v>6</v>
      </c>
      <c r="I22" s="41">
        <f>'Muestras Tintas'!H91</f>
        <v>46079</v>
      </c>
      <c r="J22" s="30">
        <f>'Muestras Tintas'!I91</f>
        <v>3.11</v>
      </c>
      <c r="K22" s="30">
        <f>'Muestras Tintas'!J91</f>
        <v>22.3</v>
      </c>
      <c r="L22" s="30">
        <f>'Muestras Tintas'!L91*0.49</f>
        <v>6.7620000000000005</v>
      </c>
      <c r="M22" s="30">
        <f>'Muestras Tintas'!M91*1.53</f>
        <v>10.34586</v>
      </c>
      <c r="N22" s="59">
        <f>'Muestras Tintas'!O91/200</f>
        <v>1.4509999999999998</v>
      </c>
    </row>
    <row r="23" spans="1:14" x14ac:dyDescent="0.3">
      <c r="A23" s="29" t="str">
        <f>'Muestras Tintas'!A92</f>
        <v>CS26QAGC40-H152-7</v>
      </c>
      <c r="B23" s="30" t="str">
        <f>'Muestras Tintas'!B92</f>
        <v>Cabernet Sauvignon</v>
      </c>
      <c r="C23" s="30" t="str">
        <f>'Muestras Tintas'!C92</f>
        <v>Maule</v>
      </c>
      <c r="D23" s="30" t="str">
        <f>'Muestras Tintas'!D92</f>
        <v>QUEBRADA DE AGUA</v>
      </c>
      <c r="E23" s="30">
        <f>'Muestras Tintas'!E92</f>
        <v>40</v>
      </c>
      <c r="F23" s="30">
        <f>'Muestras Tintas'!F92</f>
        <v>152</v>
      </c>
      <c r="G23" s="30"/>
      <c r="H23" s="30" t="str">
        <f>'Muestras Tintas'!G92</f>
        <v>7</v>
      </c>
      <c r="I23" s="41">
        <f>'Muestras Tintas'!H92</f>
        <v>46086</v>
      </c>
      <c r="J23" s="30">
        <f>'Muestras Tintas'!I92</f>
        <v>3.14</v>
      </c>
      <c r="K23" s="30">
        <f>'Muestras Tintas'!J92</f>
        <v>23.1</v>
      </c>
      <c r="L23" s="30">
        <f>'Muestras Tintas'!L92*0.49</f>
        <v>5.6055999999999999</v>
      </c>
      <c r="M23" s="30">
        <f>'Muestras Tintas'!M92*1.53</f>
        <v>8.576568</v>
      </c>
      <c r="N23" s="59">
        <f>'Muestras Tintas'!O92/200</f>
        <v>1.4830000000000001</v>
      </c>
    </row>
    <row r="24" spans="1:14" x14ac:dyDescent="0.3">
      <c r="A24" s="29" t="str">
        <f>'Muestras Tintas'!A93</f>
        <v>CS26QAGC40-H152-8</v>
      </c>
      <c r="B24" s="30" t="str">
        <f>'Muestras Tintas'!B93</f>
        <v>Cabernet Sauvignon</v>
      </c>
      <c r="C24" s="30" t="str">
        <f>'Muestras Tintas'!C93</f>
        <v>Maule</v>
      </c>
      <c r="D24" s="30" t="str">
        <f>'Muestras Tintas'!D93</f>
        <v>QUEBRADA DE AGUA</v>
      </c>
      <c r="E24" s="30">
        <f>'Muestras Tintas'!E93</f>
        <v>40</v>
      </c>
      <c r="F24" s="30">
        <f>'Muestras Tintas'!F93</f>
        <v>152</v>
      </c>
      <c r="G24" s="30"/>
      <c r="H24" s="30" t="str">
        <f>'Muestras Tintas'!G93</f>
        <v>8</v>
      </c>
      <c r="I24" s="41">
        <f>'Muestras Tintas'!H93</f>
        <v>46094</v>
      </c>
      <c r="J24" s="30">
        <f>'Muestras Tintas'!I93</f>
        <v>3.13</v>
      </c>
      <c r="K24" s="30">
        <f>'Muestras Tintas'!J93</f>
        <v>23.7</v>
      </c>
      <c r="L24" s="30">
        <f>'Muestras Tintas'!L93*0.49</f>
        <v>5.4242999999999997</v>
      </c>
      <c r="M24" s="30">
        <f>'Muestras Tintas'!M93*1.53</f>
        <v>8.2991790000000005</v>
      </c>
      <c r="N24" s="59">
        <f>'Muestras Tintas'!O93/200</f>
        <v>1.5485</v>
      </c>
    </row>
    <row r="25" spans="1:14" x14ac:dyDescent="0.3">
      <c r="A25" s="29" t="str">
        <f>'Muestras Tintas'!A94</f>
        <v>CS26QAGC40-H152-9</v>
      </c>
      <c r="B25" s="30" t="str">
        <f>'Muestras Tintas'!B94</f>
        <v>Cabernet Sauvignon</v>
      </c>
      <c r="C25" s="30" t="str">
        <f>'Muestras Tintas'!C94</f>
        <v>Maule</v>
      </c>
      <c r="D25" s="30" t="str">
        <f>'Muestras Tintas'!D94</f>
        <v>QUEBRADA DE AGUA</v>
      </c>
      <c r="E25" s="30">
        <f>'Muestras Tintas'!E94</f>
        <v>40</v>
      </c>
      <c r="F25" s="30">
        <f>'Muestras Tintas'!F94</f>
        <v>152</v>
      </c>
      <c r="G25" s="30"/>
      <c r="H25" s="30" t="str">
        <f>'Muestras Tintas'!G94</f>
        <v>9</v>
      </c>
      <c r="I25" s="41">
        <f>'Muestras Tintas'!H94</f>
        <v>46108</v>
      </c>
      <c r="J25" s="30">
        <f>'Muestras Tintas'!I94</f>
        <v>3.05</v>
      </c>
      <c r="K25" s="30">
        <f>'Muestras Tintas'!J94</f>
        <v>23.8</v>
      </c>
      <c r="L25" s="30">
        <f>'Muestras Tintas'!L94*0.49</f>
        <v>5.1890999999999998</v>
      </c>
      <c r="M25" s="30">
        <f>'Muestras Tintas'!M94*1.53</f>
        <v>7.9393229999999999</v>
      </c>
      <c r="N25" s="59">
        <f>'Muestras Tintas'!O94/200</f>
        <v>1.5090000000000001</v>
      </c>
    </row>
    <row r="26" spans="1:14" x14ac:dyDescent="0.3">
      <c r="A26" s="31" t="str">
        <f>'Muestras Tintas'!A95</f>
        <v>CS26QAGC40-H152-10</v>
      </c>
      <c r="B26" s="32" t="str">
        <f>'Muestras Tintas'!B95</f>
        <v>Cabernet Sauvignon</v>
      </c>
      <c r="C26" s="32" t="str">
        <f>'Muestras Tintas'!C95</f>
        <v>Maule</v>
      </c>
      <c r="D26" s="32" t="str">
        <f>'Muestras Tintas'!D95</f>
        <v>QUEBRADA DE AGUA</v>
      </c>
      <c r="E26" s="32">
        <f>'Muestras Tintas'!E95</f>
        <v>40</v>
      </c>
      <c r="F26" s="32">
        <f>'Muestras Tintas'!F95</f>
        <v>152</v>
      </c>
      <c r="G26" s="32"/>
      <c r="H26" s="32">
        <f>'Muestras Tintas'!G95</f>
        <v>10</v>
      </c>
      <c r="I26" s="54">
        <f>'Muestras Tintas'!H95</f>
        <v>46114</v>
      </c>
      <c r="J26" s="32">
        <f>'Muestras Tintas'!I95</f>
        <v>3.07</v>
      </c>
      <c r="K26" s="32">
        <f>'Muestras Tintas'!J95</f>
        <v>25</v>
      </c>
      <c r="L26" s="32">
        <f>'Muestras Tintas'!L95*0.49</f>
        <v>5.5712999999999999</v>
      </c>
      <c r="M26" s="32">
        <f>'Muestras Tintas'!M95*1.53</f>
        <v>8.524089</v>
      </c>
      <c r="N26" s="60">
        <f>'Muestras Tintas'!O95/200</f>
        <v>1.4790000000000001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0053-2D54-42EA-B01D-862DE6EEA8AA}">
  <sheetPr codeName="Hoja13"/>
  <dimension ref="A2:N16"/>
  <sheetViews>
    <sheetView workbookViewId="0">
      <selection activeCell="G22" sqref="G22"/>
    </sheetView>
  </sheetViews>
  <sheetFormatPr baseColWidth="10" defaultColWidth="8.88671875" defaultRowHeight="14.4" x14ac:dyDescent="0.3"/>
  <cols>
    <col min="1" max="1" width="24.44140625" bestFit="1" customWidth="1"/>
    <col min="2" max="2" width="18.5546875" bestFit="1" customWidth="1"/>
    <col min="4" max="4" width="9.5546875" bestFit="1" customWidth="1"/>
    <col min="7" max="7" width="17" bestFit="1" customWidth="1"/>
    <col min="9" max="9" width="11.109375" bestFit="1" customWidth="1"/>
    <col min="12" max="12" width="15.5546875" bestFit="1" customWidth="1"/>
    <col min="13" max="13" width="15.33203125" bestFit="1" customWidth="1"/>
  </cols>
  <sheetData>
    <row r="2" spans="1:14" x14ac:dyDescent="0.3">
      <c r="A2" s="23">
        <v>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3">
      <c r="A3" s="37" t="s">
        <v>0</v>
      </c>
      <c r="B3" s="26" t="s">
        <v>1</v>
      </c>
      <c r="C3" s="26" t="s">
        <v>225</v>
      </c>
      <c r="D3" s="26" t="s">
        <v>3</v>
      </c>
      <c r="E3" s="26" t="s">
        <v>4</v>
      </c>
      <c r="F3" s="26" t="s">
        <v>5</v>
      </c>
      <c r="G3" s="26" t="s">
        <v>226</v>
      </c>
      <c r="H3" s="26" t="s">
        <v>227</v>
      </c>
      <c r="I3" s="26" t="s">
        <v>228</v>
      </c>
      <c r="J3" s="26" t="s">
        <v>8</v>
      </c>
      <c r="K3" s="38" t="s">
        <v>9</v>
      </c>
      <c r="L3" s="26" t="s">
        <v>12</v>
      </c>
      <c r="M3" s="26" t="s">
        <v>13</v>
      </c>
      <c r="N3" s="39" t="s">
        <v>16</v>
      </c>
    </row>
    <row r="4" spans="1:14" x14ac:dyDescent="0.3">
      <c r="A4" s="27" t="str">
        <f>'Muestras Tintas'!A148</f>
        <v>CA26RUCC 24-H369-1</v>
      </c>
      <c r="B4" s="28" t="str">
        <f>'Muestras Tintas'!B148</f>
        <v>Carmenere</v>
      </c>
      <c r="C4" s="28" t="str">
        <f>'Muestras Tintas'!C148</f>
        <v>Cachapoal</v>
      </c>
      <c r="D4" s="28" t="str">
        <f>'Muestras Tintas'!D148</f>
        <v>RUCAHUE</v>
      </c>
      <c r="E4" s="28">
        <f>'Muestras Tintas'!E148</f>
        <v>24</v>
      </c>
      <c r="F4" s="28">
        <f>'Muestras Tintas'!F148</f>
        <v>369</v>
      </c>
      <c r="G4" s="28"/>
      <c r="H4" s="28" t="str">
        <f>'Muestras Tintas'!G148</f>
        <v>1</v>
      </c>
      <c r="I4" s="35">
        <f>'Muestras Tintas'!H148</f>
        <v>46051</v>
      </c>
      <c r="J4" s="28">
        <f>'Muestras Tintas'!I148</f>
        <v>3.28</v>
      </c>
      <c r="K4" s="28">
        <f>'Muestras Tintas'!J148</f>
        <v>15.9</v>
      </c>
      <c r="L4" s="28">
        <f>'Muestras Tintas'!L148*0.49</f>
        <v>5.5860000000000003</v>
      </c>
      <c r="M4" s="28">
        <f>'Muestras Tintas'!M148*1.53</f>
        <v>8.5465800000000005</v>
      </c>
      <c r="N4" s="58">
        <f>'Muestras Tintas'!O148/200</f>
        <v>1.5765500000000001</v>
      </c>
    </row>
    <row r="5" spans="1:14" x14ac:dyDescent="0.3">
      <c r="A5" s="29" t="str">
        <f>'Muestras Tintas'!A149</f>
        <v>CA26RUCC 24-H369-2</v>
      </c>
      <c r="B5" s="30" t="str">
        <f>'Muestras Tintas'!B149</f>
        <v>Carmenere</v>
      </c>
      <c r="C5" s="30" t="str">
        <f>'Muestras Tintas'!C149</f>
        <v>Cachapoal</v>
      </c>
      <c r="D5" s="30" t="str">
        <f>'Muestras Tintas'!D149</f>
        <v>RUCAHUE</v>
      </c>
      <c r="E5" s="30">
        <f>'Muestras Tintas'!E149</f>
        <v>24</v>
      </c>
      <c r="F5" s="30">
        <f>'Muestras Tintas'!F149</f>
        <v>369</v>
      </c>
      <c r="G5" s="30"/>
      <c r="H5" s="30" t="str">
        <f>'Muestras Tintas'!G149</f>
        <v>2</v>
      </c>
      <c r="I5" s="13">
        <f>'Muestras Tintas'!H149</f>
        <v>46057</v>
      </c>
      <c r="J5" s="30">
        <f>'Muestras Tintas'!I149</f>
        <v>3.33</v>
      </c>
      <c r="K5" s="30">
        <f>'Muestras Tintas'!J149</f>
        <v>17.600000000000001</v>
      </c>
      <c r="L5" s="30">
        <f>'Muestras Tintas'!L149*0.49</f>
        <v>4.5962000000000005</v>
      </c>
      <c r="M5" s="30">
        <f>'Muestras Tintas'!M149*1.53</f>
        <v>7.0321860000000012</v>
      </c>
      <c r="N5" s="59">
        <f>'Muestras Tintas'!O149/200</f>
        <v>1.8030000000000002</v>
      </c>
    </row>
    <row r="6" spans="1:14" x14ac:dyDescent="0.3">
      <c r="A6" s="29" t="str">
        <f>'Muestras Tintas'!A150</f>
        <v>CA26RUCC 24-H369-3</v>
      </c>
      <c r="B6" s="30" t="str">
        <f>'Muestras Tintas'!B150</f>
        <v>Carmenere</v>
      </c>
      <c r="C6" s="30" t="str">
        <f>'Muestras Tintas'!C150</f>
        <v>Cachapoal</v>
      </c>
      <c r="D6" s="30" t="str">
        <f>'Muestras Tintas'!D150</f>
        <v>RUCAHUE</v>
      </c>
      <c r="E6" s="30">
        <f>'Muestras Tintas'!E150</f>
        <v>24</v>
      </c>
      <c r="F6" s="30">
        <f>'Muestras Tintas'!F150</f>
        <v>369</v>
      </c>
      <c r="G6" s="30"/>
      <c r="H6" s="30" t="str">
        <f>'Muestras Tintas'!G150</f>
        <v>3</v>
      </c>
      <c r="I6" s="13">
        <f>'Muestras Tintas'!H150</f>
        <v>46064</v>
      </c>
      <c r="J6" s="30">
        <f>'Muestras Tintas'!I150</f>
        <v>3.49</v>
      </c>
      <c r="K6" s="30">
        <f>'Muestras Tintas'!J150</f>
        <v>19.100000000000001</v>
      </c>
      <c r="L6" s="30">
        <f>'Muestras Tintas'!L150*0.49</f>
        <v>3.8807999999999998</v>
      </c>
      <c r="M6" s="30">
        <f>'Muestras Tintas'!M150*1.53</f>
        <v>5.9376239999999996</v>
      </c>
      <c r="N6" s="59">
        <f>'Muestras Tintas'!O150/200</f>
        <v>1.8959999999999999</v>
      </c>
    </row>
    <row r="7" spans="1:14" x14ac:dyDescent="0.3">
      <c r="A7" s="29" t="str">
        <f>'Muestras Tintas'!A151</f>
        <v>CA26RUCC 24-H369-4</v>
      </c>
      <c r="B7" s="30" t="str">
        <f>'Muestras Tintas'!B151</f>
        <v>Carmenere</v>
      </c>
      <c r="C7" s="30" t="str">
        <f>'Muestras Tintas'!C151</f>
        <v>Cachapoal</v>
      </c>
      <c r="D7" s="30" t="str">
        <f>'Muestras Tintas'!D151</f>
        <v>RUCAHUE</v>
      </c>
      <c r="E7" s="30">
        <f>'Muestras Tintas'!E151</f>
        <v>24</v>
      </c>
      <c r="F7" s="30">
        <f>'Muestras Tintas'!F151</f>
        <v>369</v>
      </c>
      <c r="G7" s="30"/>
      <c r="H7" s="30" t="str">
        <f>'Muestras Tintas'!G151</f>
        <v>4</v>
      </c>
      <c r="I7" s="13">
        <f>'Muestras Tintas'!H151</f>
        <v>46071</v>
      </c>
      <c r="J7" s="30">
        <f>'Muestras Tintas'!I151</f>
        <v>3.5</v>
      </c>
      <c r="K7" s="30">
        <f>'Muestras Tintas'!J151</f>
        <v>20.7</v>
      </c>
      <c r="L7" s="30">
        <f>'Muestras Tintas'!L151*0.49</f>
        <v>3.528</v>
      </c>
      <c r="M7" s="30">
        <f>'Muestras Tintas'!M151*1.53</f>
        <v>5.3978400000000004</v>
      </c>
      <c r="N7" s="59">
        <f>'Muestras Tintas'!O151/200</f>
        <v>1.9035</v>
      </c>
    </row>
    <row r="8" spans="1:14" x14ac:dyDescent="0.3">
      <c r="A8" s="29" t="str">
        <f>'Muestras Tintas'!A152</f>
        <v>CA26RUCC 24-H369-5</v>
      </c>
      <c r="B8" s="30" t="str">
        <f>'Muestras Tintas'!B152</f>
        <v>Carmenere</v>
      </c>
      <c r="C8" s="30" t="str">
        <f>'Muestras Tintas'!C152</f>
        <v>Cachapoal</v>
      </c>
      <c r="D8" s="30" t="str">
        <f>'Muestras Tintas'!D152</f>
        <v>RUCAHUE</v>
      </c>
      <c r="E8" s="30">
        <f>'Muestras Tintas'!E152</f>
        <v>24</v>
      </c>
      <c r="F8" s="30">
        <f>'Muestras Tintas'!F152</f>
        <v>369</v>
      </c>
      <c r="G8" s="30"/>
      <c r="H8" s="30" t="str">
        <f>'Muestras Tintas'!G152</f>
        <v>5</v>
      </c>
      <c r="I8" s="13">
        <f>'Muestras Tintas'!H152</f>
        <v>46078</v>
      </c>
      <c r="J8" s="30">
        <f>'Muestras Tintas'!I152</f>
        <v>3.62</v>
      </c>
      <c r="K8" s="30">
        <f>'Muestras Tintas'!J152</f>
        <v>22</v>
      </c>
      <c r="L8" s="30">
        <f>'Muestras Tintas'!L152*0.49</f>
        <v>2.94</v>
      </c>
      <c r="M8" s="30">
        <f>'Muestras Tintas'!M152*1.53</f>
        <v>4.4981999999999998</v>
      </c>
      <c r="N8" s="59">
        <f>'Muestras Tintas'!O152/200</f>
        <v>1.9235</v>
      </c>
    </row>
    <row r="9" spans="1:14" x14ac:dyDescent="0.3">
      <c r="A9" s="29" t="str">
        <f>'Muestras Tintas'!A153</f>
        <v>CA26RUCC 24-H369-6</v>
      </c>
      <c r="B9" s="30" t="str">
        <f>'Muestras Tintas'!B153</f>
        <v>Carmenere</v>
      </c>
      <c r="C9" s="30" t="str">
        <f>'Muestras Tintas'!C153</f>
        <v>Cachapoal</v>
      </c>
      <c r="D9" s="30" t="str">
        <f>'Muestras Tintas'!D153</f>
        <v>RUCAHUE</v>
      </c>
      <c r="E9" s="30">
        <f>'Muestras Tintas'!E153</f>
        <v>24</v>
      </c>
      <c r="F9" s="30">
        <f>'Muestras Tintas'!F153</f>
        <v>369</v>
      </c>
      <c r="G9" s="30"/>
      <c r="H9" s="30" t="str">
        <f>'Muestras Tintas'!G153</f>
        <v>6</v>
      </c>
      <c r="I9" s="13">
        <f>'Muestras Tintas'!H153</f>
        <v>46085</v>
      </c>
      <c r="J9" s="30">
        <f>'Muestras Tintas'!I153</f>
        <v>3.68</v>
      </c>
      <c r="K9" s="30">
        <f>'Muestras Tintas'!J153</f>
        <v>22.7</v>
      </c>
      <c r="L9" s="30">
        <f>'Muestras Tintas'!L153*0.49</f>
        <v>2.5381999999999998</v>
      </c>
      <c r="M9" s="30">
        <f>'Muestras Tintas'!M153*1.53</f>
        <v>3.8834459999999997</v>
      </c>
      <c r="N9" s="59">
        <f>'Muestras Tintas'!O153/200</f>
        <v>1.8740000000000001</v>
      </c>
    </row>
    <row r="10" spans="1:14" x14ac:dyDescent="0.3">
      <c r="A10" s="29" t="str">
        <f>'Muestras Tintas'!A154</f>
        <v>CA26RUCC 24-H369-7</v>
      </c>
      <c r="B10" s="30" t="str">
        <f>'Muestras Tintas'!B154</f>
        <v>Carmenere</v>
      </c>
      <c r="C10" s="30" t="str">
        <f>'Muestras Tintas'!C154</f>
        <v>Cachapoal</v>
      </c>
      <c r="D10" s="30" t="str">
        <f>'Muestras Tintas'!D154</f>
        <v>RUCAHUE</v>
      </c>
      <c r="E10" s="30">
        <f>'Muestras Tintas'!E154</f>
        <v>24</v>
      </c>
      <c r="F10" s="30">
        <f>'Muestras Tintas'!F154</f>
        <v>369</v>
      </c>
      <c r="G10" s="30"/>
      <c r="H10" s="30" t="str">
        <f>'Muestras Tintas'!G154</f>
        <v>7</v>
      </c>
      <c r="I10" s="13">
        <f>'Muestras Tintas'!H154</f>
        <v>46092</v>
      </c>
      <c r="J10" s="30">
        <f>'Muestras Tintas'!I154</f>
        <v>3.84</v>
      </c>
      <c r="K10" s="30">
        <f>'Muestras Tintas'!J154</f>
        <v>23.2</v>
      </c>
      <c r="L10" s="30">
        <f>'Muestras Tintas'!L154*0.49</f>
        <v>2.3960999999999997</v>
      </c>
      <c r="M10" s="30">
        <f>'Muestras Tintas'!M154*1.53</f>
        <v>3.6660329999999997</v>
      </c>
      <c r="N10" s="59">
        <f>'Muestras Tintas'!O154/200</f>
        <v>1.92</v>
      </c>
    </row>
    <row r="11" spans="1:14" x14ac:dyDescent="0.3">
      <c r="A11" s="29" t="str">
        <f>'Muestras Tintas'!A155</f>
        <v>CA26RUCC 24-H369-8</v>
      </c>
      <c r="B11" s="30" t="str">
        <f>'Muestras Tintas'!B155</f>
        <v>Carmenere</v>
      </c>
      <c r="C11" s="30" t="str">
        <f>'Muestras Tintas'!C155</f>
        <v>Cachapoal</v>
      </c>
      <c r="D11" s="30" t="str">
        <f>'Muestras Tintas'!D155</f>
        <v>RUCAHUE</v>
      </c>
      <c r="E11" s="30">
        <f>'Muestras Tintas'!E155</f>
        <v>24</v>
      </c>
      <c r="F11" s="30">
        <f>'Muestras Tintas'!F155</f>
        <v>369</v>
      </c>
      <c r="G11" s="30"/>
      <c r="H11" s="30" t="str">
        <f>'Muestras Tintas'!G155</f>
        <v>8</v>
      </c>
      <c r="I11" s="13">
        <f>'Muestras Tintas'!H155</f>
        <v>46099</v>
      </c>
      <c r="J11" s="30">
        <f>'Muestras Tintas'!I155</f>
        <v>3.83</v>
      </c>
      <c r="K11" s="30">
        <f>'Muestras Tintas'!J155</f>
        <v>23.7</v>
      </c>
      <c r="L11" s="30">
        <f>'Muestras Tintas'!L155*0.49</f>
        <v>2.1706999999999996</v>
      </c>
      <c r="M11" s="30">
        <f>'Muestras Tintas'!M155*1.53</f>
        <v>3.3211709999999997</v>
      </c>
      <c r="N11" s="59">
        <f>'Muestras Tintas'!O155/200</f>
        <v>1.8835</v>
      </c>
    </row>
    <row r="12" spans="1:14" x14ac:dyDescent="0.3">
      <c r="A12" s="29" t="str">
        <f>'Muestras Tintas'!A156</f>
        <v>CA26RUCC 24-H369-9</v>
      </c>
      <c r="B12" s="30" t="str">
        <f>'Muestras Tintas'!B156</f>
        <v>Carmenere</v>
      </c>
      <c r="C12" s="30" t="str">
        <f>'Muestras Tintas'!C156</f>
        <v>Cachapoal</v>
      </c>
      <c r="D12" s="30" t="str">
        <f>'Muestras Tintas'!D156</f>
        <v>RUCAHUE</v>
      </c>
      <c r="E12" s="30">
        <f>'Muestras Tintas'!E156</f>
        <v>24</v>
      </c>
      <c r="F12" s="30">
        <f>'Muestras Tintas'!F156</f>
        <v>369</v>
      </c>
      <c r="G12" s="30"/>
      <c r="H12" s="30" t="str">
        <f>'Muestras Tintas'!G156</f>
        <v>9</v>
      </c>
      <c r="I12" s="13">
        <f>'Muestras Tintas'!H156</f>
        <v>46105</v>
      </c>
      <c r="J12" s="30">
        <f>'Muestras Tintas'!I156</f>
        <v>3.85</v>
      </c>
      <c r="K12" s="30">
        <f>'Muestras Tintas'!J156</f>
        <v>23.9</v>
      </c>
      <c r="L12" s="30">
        <f>'Muestras Tintas'!L156*0.49</f>
        <v>2.0139</v>
      </c>
      <c r="M12" s="30">
        <f>'Muestras Tintas'!M156*1.53</f>
        <v>3.081267</v>
      </c>
      <c r="N12" s="59">
        <f>'Muestras Tintas'!O156/200</f>
        <v>2.0135000000000001</v>
      </c>
    </row>
    <row r="13" spans="1:14" x14ac:dyDescent="0.3">
      <c r="A13" s="29" t="str">
        <f>'Muestras Tintas'!A157</f>
        <v>CA26RUCC 24-H369-10</v>
      </c>
      <c r="B13" s="30" t="str">
        <f>'Muestras Tintas'!B157</f>
        <v>Carmenere</v>
      </c>
      <c r="C13" s="30" t="str">
        <f>'Muestras Tintas'!C157</f>
        <v>Cachapoal</v>
      </c>
      <c r="D13" s="30" t="str">
        <f>'Muestras Tintas'!D157</f>
        <v>RUCAHUE</v>
      </c>
      <c r="E13" s="30">
        <f>'Muestras Tintas'!E157</f>
        <v>24</v>
      </c>
      <c r="F13" s="30">
        <f>'Muestras Tintas'!F157</f>
        <v>369</v>
      </c>
      <c r="G13" s="30"/>
      <c r="H13" s="30">
        <f>'Muestras Tintas'!G157</f>
        <v>10</v>
      </c>
      <c r="I13" s="13">
        <f>'Muestras Tintas'!H157</f>
        <v>46113</v>
      </c>
      <c r="J13" s="30">
        <f>'Muestras Tintas'!I157</f>
        <v>3.8</v>
      </c>
      <c r="K13" s="30">
        <f>'Muestras Tintas'!J157</f>
        <v>24.1</v>
      </c>
      <c r="L13" s="30">
        <f>'Muestras Tintas'!L157*0.49</f>
        <v>2.1069999999999998</v>
      </c>
      <c r="M13" s="30">
        <f>'Muestras Tintas'!M157*1.53</f>
        <v>3.2237099999999996</v>
      </c>
      <c r="N13" s="59">
        <f>'Muestras Tintas'!O157/200</f>
        <v>1.8855000000000002</v>
      </c>
    </row>
    <row r="14" spans="1:14" x14ac:dyDescent="0.3">
      <c r="A14" s="29" t="str">
        <f>'Muestras Tintas'!A158</f>
        <v>CA26RUCC 24-H369-11</v>
      </c>
      <c r="B14" s="30" t="str">
        <f>'Muestras Tintas'!B158</f>
        <v>Carmenere</v>
      </c>
      <c r="C14" s="30" t="str">
        <f>'Muestras Tintas'!C158</f>
        <v>Cachapoal</v>
      </c>
      <c r="D14" s="30" t="str">
        <f>'Muestras Tintas'!D158</f>
        <v>RUCAHUE</v>
      </c>
      <c r="E14" s="30">
        <f>'Muestras Tintas'!E158</f>
        <v>24</v>
      </c>
      <c r="F14" s="30">
        <f>'Muestras Tintas'!F158</f>
        <v>369</v>
      </c>
      <c r="G14" s="30"/>
      <c r="H14" s="30">
        <f>'Muestras Tintas'!G158</f>
        <v>11</v>
      </c>
      <c r="I14" s="13">
        <f>'Muestras Tintas'!H158</f>
        <v>46120</v>
      </c>
      <c r="J14" s="30">
        <f>'Muestras Tintas'!I158</f>
        <v>3.84</v>
      </c>
      <c r="K14" s="30">
        <f>'Muestras Tintas'!J158</f>
        <v>24.5</v>
      </c>
      <c r="L14" s="30">
        <f>'Muestras Tintas'!L158*0.49</f>
        <v>2.2000999999999999</v>
      </c>
      <c r="M14" s="30">
        <f>'Muestras Tintas'!M158*1.53</f>
        <v>3.3661530000000002</v>
      </c>
      <c r="N14" s="59">
        <f>'Muestras Tintas'!O158/200</f>
        <v>1.9125000000000001</v>
      </c>
    </row>
    <row r="15" spans="1:14" x14ac:dyDescent="0.3">
      <c r="A15" s="29" t="str">
        <f>'Muestras Tintas'!A159</f>
        <v>CA26RUCC 24-H369-12</v>
      </c>
      <c r="B15" s="30" t="str">
        <f>'Muestras Tintas'!B159</f>
        <v>Carmenere</v>
      </c>
      <c r="C15" s="30" t="str">
        <f>'Muestras Tintas'!C159</f>
        <v>Cachapoal</v>
      </c>
      <c r="D15" s="30" t="str">
        <f>'Muestras Tintas'!D159</f>
        <v>RUCAHUE</v>
      </c>
      <c r="E15" s="30">
        <f>'Muestras Tintas'!E159</f>
        <v>24</v>
      </c>
      <c r="F15" s="30">
        <f>'Muestras Tintas'!F159</f>
        <v>369</v>
      </c>
      <c r="G15" s="30"/>
      <c r="H15" s="30">
        <f>'Muestras Tintas'!G159</f>
        <v>12</v>
      </c>
      <c r="I15" s="13">
        <f>'Muestras Tintas'!H159</f>
        <v>46127</v>
      </c>
      <c r="J15" s="30">
        <f>'Muestras Tintas'!I159</f>
        <v>3.83</v>
      </c>
      <c r="K15" s="30">
        <f>'Muestras Tintas'!J159</f>
        <v>25.1</v>
      </c>
      <c r="L15" s="30">
        <f>'Muestras Tintas'!L159*0.49</f>
        <v>2.1265999999999998</v>
      </c>
      <c r="M15" s="30">
        <f>'Muestras Tintas'!M159*1.53</f>
        <v>3.253698</v>
      </c>
      <c r="N15" s="59">
        <f>'Muestras Tintas'!O159/200</f>
        <v>1.9635</v>
      </c>
    </row>
    <row r="16" spans="1:14" x14ac:dyDescent="0.3">
      <c r="A16" s="31" t="str">
        <f>'Muestras Tintas'!A160</f>
        <v>CA26RUCC 24-H369-13</v>
      </c>
      <c r="B16" s="32" t="str">
        <f>'Muestras Tintas'!B160</f>
        <v>Carmenere</v>
      </c>
      <c r="C16" s="32" t="str">
        <f>'Muestras Tintas'!C160</f>
        <v>Cachapoal</v>
      </c>
      <c r="D16" s="32" t="str">
        <f>'Muestras Tintas'!D160</f>
        <v>RUCAHUE</v>
      </c>
      <c r="E16" s="32">
        <f>'Muestras Tintas'!E160</f>
        <v>24</v>
      </c>
      <c r="F16" s="32">
        <f>'Muestras Tintas'!F160</f>
        <v>369</v>
      </c>
      <c r="G16" s="32"/>
      <c r="H16" s="32">
        <f>'Muestras Tintas'!G160</f>
        <v>13</v>
      </c>
      <c r="I16" s="40">
        <f>'Muestras Tintas'!H160</f>
        <v>46134</v>
      </c>
      <c r="J16" s="32">
        <f>'Muestras Tintas'!I160</f>
        <v>3.88</v>
      </c>
      <c r="K16" s="32">
        <f>'Muestras Tintas'!J160</f>
        <v>25.6</v>
      </c>
      <c r="L16" s="32">
        <f>'Muestras Tintas'!L160*0.49</f>
        <v>1.9355</v>
      </c>
      <c r="M16" s="32">
        <f>'Muestras Tintas'!M160*1.53</f>
        <v>2.9613149999999999</v>
      </c>
      <c r="N16" s="60">
        <f>'Muestras Tintas'!O160/200</f>
        <v>1.9490000000000001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11a6a5-ee82-4a02-bebc-d75e619d3131">
      <Terms xmlns="http://schemas.microsoft.com/office/infopath/2007/PartnerControls"/>
    </lcf76f155ced4ddcb4097134ff3c332f>
    <TaxCatchAll xmlns="bae2cfbf-d425-4210-abb5-c5356e70b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63E61BE9AF4CB41523AF82182D39" ma:contentTypeVersion="15" ma:contentTypeDescription="Create a new document." ma:contentTypeScope="" ma:versionID="0feee9963e12b5fd2c54b2bd75b403d4">
  <xsd:schema xmlns:xsd="http://www.w3.org/2001/XMLSchema" xmlns:xs="http://www.w3.org/2001/XMLSchema" xmlns:p="http://schemas.microsoft.com/office/2006/metadata/properties" xmlns:ns2="9f11a6a5-ee82-4a02-bebc-d75e619d3131" xmlns:ns3="bae2cfbf-d425-4210-abb5-c5356e70b5e2" targetNamespace="http://schemas.microsoft.com/office/2006/metadata/properties" ma:root="true" ma:fieldsID="19fd53b458839ab4ba21b394543d2956" ns2:_="" ns3:_="">
    <xsd:import namespace="9f11a6a5-ee82-4a02-bebc-d75e619d3131"/>
    <xsd:import namespace="bae2cfbf-d425-4210-abb5-c5356e70b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1a6a5-ee82-4a02-bebc-d75e619d3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33408e-f44f-44d9-98e6-facb173d5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2cfbf-d425-4210-abb5-c5356e70b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16d649-b879-43b3-8d6f-ee172b72b113}" ma:internalName="TaxCatchAll" ma:showField="CatchAllData" ma:web="bae2cfbf-d425-4210-abb5-c5356e70b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3A6CEB-29C7-4A56-AEC0-17530EDF502F}">
  <ds:schemaRefs>
    <ds:schemaRef ds:uri="http://schemas.microsoft.com/office/2006/metadata/properties"/>
    <ds:schemaRef ds:uri="http://schemas.microsoft.com/office/infopath/2007/PartnerControls"/>
    <ds:schemaRef ds:uri="9f11a6a5-ee82-4a02-bebc-d75e619d3131"/>
    <ds:schemaRef ds:uri="bae2cfbf-d425-4210-abb5-c5356e70b5e2"/>
  </ds:schemaRefs>
</ds:datastoreItem>
</file>

<file path=customXml/itemProps2.xml><?xml version="1.0" encoding="utf-8"?>
<ds:datastoreItem xmlns:ds="http://schemas.openxmlformats.org/officeDocument/2006/customXml" ds:itemID="{A6281406-FAC0-4084-A972-ADE637DF90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8189D-6058-4186-95BD-05269B632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Muestras Tintas</vt:lpstr>
      <vt:lpstr>CS-Idahue</vt:lpstr>
      <vt:lpstr>CS-Nilahue</vt:lpstr>
      <vt:lpstr>CA-Peumo</vt:lpstr>
      <vt:lpstr>CS-Keule</vt:lpstr>
      <vt:lpstr>CA-Villa_Alegre</vt:lpstr>
      <vt:lpstr>CS-Lourdes</vt:lpstr>
      <vt:lpstr>CA-Lourdes</vt:lpstr>
      <vt:lpstr>CA-Quinta_Maipo</vt:lpstr>
      <vt:lpstr>CS-San_Adolfo</vt:lpstr>
      <vt:lpstr>CA-Palo_Santo</vt:lpstr>
      <vt:lpstr>CS-Quebrada_Agua</vt:lpstr>
      <vt:lpstr>CA-Rucahue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DANIELA ARRIAGADA GONZALEZ</dc:creator>
  <cp:keywords/>
  <dc:description/>
  <cp:lastModifiedBy>DIEGO NUÑEZ SIMMS</cp:lastModifiedBy>
  <cp:revision/>
  <dcterms:created xsi:type="dcterms:W3CDTF">2025-10-29T14:35:49Z</dcterms:created>
  <dcterms:modified xsi:type="dcterms:W3CDTF">2026-05-14T16:23:02Z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0x010100EF1663E61BE9AF4CB41523AF82182D39</vt:lpwstr>
  </property>
  <property fmtid="{D5CDD505-2E9C-101B-9397-08002B2CF9AE}" pid="3" name="MediaServiceImageTags">
    <vt:lpwstr/>
  </property>
</Properties>
</file>